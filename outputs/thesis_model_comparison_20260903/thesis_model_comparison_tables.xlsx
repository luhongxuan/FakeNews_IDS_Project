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0bc0b434f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e36c1c7b2774c0f"/>
    <x:sheet xmlns:r="http://schemas.openxmlformats.org/officeDocument/2006/relationships" name="Static30" sheetId="2" r:id="R1cd39515731347cf"/>
    <x:sheet xmlns:r="http://schemas.openxmlformats.org/officeDocument/2006/relationships" name="Dynamic50" sheetId="3" r:id="R78e25b2db4934148"/>
    <x:sheet xmlns:r="http://schemas.openxmlformats.org/officeDocument/2006/relationships" name="Adaptive" sheetId="4" r:id="Ra3814de838194ab8"/>
    <x:sheet xmlns:r="http://schemas.openxmlformats.org/officeDocument/2006/relationships" name="NegativeEvidence" sheetId="5" r:id="R522313646a8a4551"/>
    <x:sheet xmlns:r="http://schemas.openxmlformats.org/officeDocument/2006/relationships" name="LegacyContext" sheetId="6" r:id="Rb8a3c260b7a24820"/>
    <x:sheet xmlns:r="http://schemas.openxmlformats.org/officeDocument/2006/relationships" name="Sources" sheetId="7" r:id="R2f992a17416a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"/>
    <x:numFmt numFmtId="202" formatCode="#,##0"/>
    <x:numFmt numFmtId="203" formatCode="0.0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32f5e6199423a" /><Relationship Type="http://schemas.openxmlformats.org/officeDocument/2006/relationships/theme" Target="/xl/theme/theme1.xml" Id="Ra2f891d188f0434a" /><Relationship Type="http://schemas.openxmlformats.org/officeDocument/2006/relationships/sharedStrings" Target="/xl/sharedStrings.xml" Id="Re773740436ab45d2" /><Relationship Type="http://schemas.openxmlformats.org/officeDocument/2006/relationships/worksheet" Target="/xl/worksheets/sheet1.xml" Id="Rde36c1c7b2774c0f" /><Relationship Type="http://schemas.openxmlformats.org/officeDocument/2006/relationships/worksheet" Target="/xl/worksheets/sheet2.xml" Id="R1cd39515731347cf" /><Relationship Type="http://schemas.openxmlformats.org/officeDocument/2006/relationships/worksheet" Target="/xl/worksheets/sheet3.xml" Id="R78e25b2db4934148" /><Relationship Type="http://schemas.openxmlformats.org/officeDocument/2006/relationships/worksheet" Target="/xl/worksheets/sheet4.xml" Id="Ra3814de838194ab8" /><Relationship Type="http://schemas.openxmlformats.org/officeDocument/2006/relationships/worksheet" Target="/xl/worksheets/sheet5.xml" Id="R522313646a8a4551" /><Relationship Type="http://schemas.openxmlformats.org/officeDocument/2006/relationships/worksheet" Target="/xl/worksheets/sheet6.xml" Id="Rb8a3c260b7a24820" /><Relationship Type="http://schemas.openxmlformats.org/officeDocument/2006/relationships/worksheet" Target="/xl/worksheets/sheet7.xml" Id="R2f992a17416a403d" /><Relationship Type="http://schemas.microsoft.com/office/2017/10/relationships/person" Target="/xl/persons/person.xml" Id="Rb13315fbda8e41c8" /></Relationships>
</file>

<file path=xl/persons/person.xml><?xml version="1.0" encoding="utf-8"?>
<xltc:personList xmlns:xltc="http://schemas.microsoft.com/office/spreadsheetml/2018/threadedcomments">
  <xltc:person displayName="User" id="{514F7A59-232B-41AC-80BE-61DB1F5BEA82}"/>
</xltc:personList>
</file>

<file path=xl/tables/table1.xml><?xml version="1.0" encoding="utf-8"?>
<x:table xmlns:x="http://schemas.openxmlformats.org/spreadsheetml/2006/main" id="1" name="GuideTable" displayName="GuideTable" ref="A4:D10" headerRowCount="1" totalsRowCount="0" totalsRowShown="0">
  <x:tableColumns count="4">
    <x:tableColumn id="1" name="Sheet"/>
    <x:tableColumn id="2" name="Protocol"/>
    <x:tableColumn id="3" name="內容"/>
    <x:tableColumn id="4" name="論文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ic30Table" displayName="Static30Table" ref="A4:L25" headerRowCount="1" totalsRowCount="0" totalsRowShown="0">
  <x:tableColumns count="12">
    <x:tableColumn id="1" name="comparison_group"/>
    <x:tableColumn id="2" name="model"/>
    <x:tableColumn id="3" name="budget_k"/>
    <x:tableColumn id="4" name="mean_reduction"/>
    <x:tableColumn id="5" name="delta_vs_corrected_v5"/>
    <x:tableColumn id="6" name="mean_oracle_efficiency"/>
    <x:tableColumn id="7" name="efficiency_delta_vs_v5"/>
    <x:tableColumn id="8" name="total_oracle_topk_hits"/>
    <x:tableColumn id="9" name="events"/>
    <x:tableColumn id="10" name="cutoff_sec"/>
    <x:tableColumn id="11" name="target"/>
    <x:tableColumn id="12" name="sourc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ynamic50Table" displayName="Dynamic50Table" ref="A4:L11" headerRowCount="1" totalsRowCount="0" totalsRowShown="0">
  <x:tableColumns count="12">
    <x:tableColumn id="1" name="policy"/>
    <x:tableColumn id="2" name="events"/>
    <x:tableColumn id="3" name="blocked_future_nodes"/>
    <x:tableColumn id="4" name="positive_interventions"/>
    <x:tableColumn id="5" name="mean_horizon_reduction"/>
    <x:tableColumn id="6" name="delta_vs_single30_hybrid"/>
    <x:tableColumn id="7" name="schedule_oracle_efficiency"/>
    <x:tableColumn id="8" name="mean_action_minute"/>
    <x:tableColumn id="9" name="worst_event_reduction"/>
    <x:tableColumn id="10" name="role"/>
    <x:tableColumn id="11" name="protocol"/>
    <x:tableColumn id="12" name="sourc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aptiveTable" displayName="AdaptiveTable" ref="A4:L11" headerRowCount="1" totalsRowCount="0" totalsRowShown="0">
  <x:tableColumns count="12">
    <x:tableColumn id="1" name="policy"/>
    <x:tableColumn id="2" name="events"/>
    <x:tableColumn id="3" name="mean_interventions"/>
    <x:tableColumn id="4" name="max_interventions"/>
    <x:tableColumn id="5" name="total_interventions"/>
    <x:tableColumn id="6" name="positive_interventions"/>
    <x:tableColumn id="7" name="blocked_future_nodes"/>
    <x:tableColumn id="8" name="mean_horizon_reduction"/>
    <x:tableColumn id="9" name="worst_event_reduction"/>
    <x:tableColumn id="10" name="fallback_folds"/>
    <x:tableColumn id="11" name="delta_vs_fixed_50"/>
    <x:tableColumn id="12" name="source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gativeEvidenceTable" displayName="NegativeEvidenceTable" ref="A4:K11" headerRowCount="1" totalsRowCount="0" totalsRowShown="0">
  <x:tableColumns count="11">
    <x:tableColumn id="1" name="category"/>
    <x:tableColumn id="2" name="experiment"/>
    <x:tableColumn id="3" name="metric"/>
    <x:tableColumn id="4" name="candidate_value"/>
    <x:tableColumn id="5" name="reference_value"/>
    <x:tableColumn id="6" name="numeric_delta"/>
    <x:tableColumn id="7" name="signal"/>
    <x:tableColumn id="8" name="main_finding"/>
    <x:tableColumn id="9" name="protocol"/>
    <x:tableColumn id="10" name="source_id"/>
    <x:tableColumn id="11" name="deci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gacyContextTable" displayName="LegacyContextTable" ref="A4:K8" headerRowCount="1" totalsRowCount="0" totalsRowShown="0">
  <x:tableColumns count="11">
    <x:tableColumn id="1" name="model"/>
    <x:tableColumn id="2" name="metric"/>
    <x:tableColumn id="3" name="value"/>
    <x:tableColumn id="4" name="reference"/>
    <x:tableColumn id="5" name="reference_value"/>
    <x:tableColumn id="6" name="delta"/>
    <x:tableColumn id="7" name="finding"/>
    <x:tableColumn id="8" name="comparable_scope"/>
    <x:tableColumn id="9" name="lineage"/>
    <x:tableColumn id="10" name="source_id"/>
    <x:tableColumn id="11" name="thesis_ro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E15" headerRowCount="1" totalsRowCount="0" totalsRowShown="0">
  <x:tableColumns count="5">
    <x:tableColumn id="1" name="source_id"/>
    <x:tableColumn id="2" name="repository_relative_path"/>
    <x:tableColumn id="3" name="comparison_group"/>
    <x:tableColumn id="4" name="source_type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32f41dfd654c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72d3838f684c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9209d661b64b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9b22dabedf4b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c2032475efd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d50f67e4d74b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e412d09bc6b4b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60" hidden="0" customWidth="1"/>
    <x:col min="4" max="4" width="22" hidden="0" customWidth="1"/>
  </x:cols>
  <x:sheetData>
    <x:row r="1" ht="19.200000762939453" hidden="0" customHeight="1">
      <x:c r="A1" s="12" t="str">
        <x:v>PHEME 論文模型比較表</x:v>
      </x:c>
      <x:c r="B1" s="12"/>
      <x:c r="C1" s="12"/>
      <x:c r="D1" s="12"/>
      <x:c r="E1" s="12"/>
      <x:c r="F1" s="12"/>
    </x:row>
    <x:row r="2" ht="15" hidden="0" customHeight="1">
      <x:c r="A2" s="13" t="str">
        <x:v>不同 target、artifact lineage 或 denominator 不可放入同一 leaderboard；本工作簿依可比 protocol 分頁。</x:v>
      </x:c>
      <x:c r="B2" s="13"/>
      <x:c r="C2" s="13"/>
      <x:c r="D2" s="13"/>
      <x:c r="E2" s="13"/>
      <x:c r="F2" s="13"/>
    </x:row>
    <x:row r="3">
      <x:c r="A3" s="14"/>
      <x:c r="B3" s="14"/>
      <x:c r="C3" s="14"/>
      <x:c r="D3" s="14"/>
      <x:c r="E3" s="14"/>
      <x:c r="F3" s="14"/>
    </x:row>
    <x:row r="4" ht="15" hidden="0" customHeight="1">
      <x:c r="A4" s="15" t="str">
        <x:v>Sheet</x:v>
      </x:c>
      <x:c r="B4" s="15" t="str">
        <x:v>Protocol</x:v>
      </x:c>
      <x:c r="C4" s="15" t="str">
        <x:v>內容</x:v>
      </x:c>
      <x:c r="D4" s="15" t="str">
        <x:v>論文用途</x:v>
      </x:c>
      <x:c r="E4" s="14"/>
      <x:c r="F4" s="14"/>
    </x:row>
    <x:row r="5" ht="15" hidden="0" customHeight="1">
      <x:c r="A5" s="14" t="str">
        <x:v>Static30</x:v>
      </x:c>
      <x:c r="B5" s="14" t="str">
        <x:v>Corrected strict-30</x:v>
      </x:c>
      <x:c r="C5" s="14" t="str">
        <x:v>Corrected v5、active/quiet、quiet-tier 在 K=1--100 的同 target 比較</x:v>
      </x:c>
      <x:c r="D5" s="14" t="str">
        <x:v>正式靜態主表</x:v>
      </x:c>
      <x:c r="E5" s="14"/>
      <x:c r="F5" s="14"/>
    </x:row>
    <x:row r="6" ht="15" hidden="0" customHeight="1">
      <x:c r="A6" s="14" t="str">
        <x:v>Dynamic50</x:v>
      </x:c>
      <x:c r="B6" s="14" t="str">
        <x:v>Corrected dynamic horizon</x:v>
      </x:c>
      <x:c r="C6" s="14" t="str">
        <x:v>共同 minute-10 denominator、固定總 Budget 50 的 sequential policy</x:v>
      </x:c>
      <x:c r="D6" s="14" t="str">
        <x:v>正式動態主表</x:v>
      </x:c>
      <x:c r="E6" s="14"/>
      <x:c r="F6" s="14"/>
    </x:row>
    <x:row r="7" ht="15" hidden="0" customHeight="1">
      <x:c r="A7" s="14" t="str">
        <x:v>Adaptive</x:v>
      </x:c>
      <x:c r="B7" s="14" t="str">
        <x:v>Corrected dynamic horizon</x:v>
      </x:c>
      <x:c r="C7" s="14" t="str">
        <x:v>介入數量與 reduction 的 Pareto trade-off</x:v>
      </x:c>
      <x:c r="D7" s="14" t="str">
        <x:v>政策延伸</x:v>
      </x:c>
      <x:c r="E7" s="14"/>
      <x:c r="F7" s="14"/>
    </x:row>
    <x:row r="8" ht="15" hidden="0" customHeight="1">
      <x:c r="A8" s="14" t="str">
        <x:v>NegativeEvidence</x:v>
      </x:c>
      <x:c r="B8" s="14" t="str">
        <x:v>多個相容子實驗</x:v>
      </x:c>
      <x:c r="C8" s="14" t="str">
        <x:v>Hazard、acceleration、quiet rescue 等負面／限制證據</x:v>
      </x:c>
      <x:c r="D8" s="14" t="str">
        <x:v>不可當總排行榜</x:v>
      </x:c>
      <x:c r="E8" s="14"/>
      <x:c r="F8" s="14"/>
    </x:row>
    <x:row r="9" ht="15" hidden="0" customHeight="1">
      <x:c r="A9" s="14" t="str">
        <x:v>LegacyContext</x:v>
      </x:c>
      <x:c r="B9" s="14" t="str">
        <x:v>不同 legacy lineage</x:v>
      </x:c>
      <x:c r="C9" s="14" t="str">
        <x:v>研究演進的重要舊結果</x:v>
      </x:c>
      <x:c r="D9" s="14" t="str">
        <x:v>只供歷程說明</x:v>
      </x:c>
      <x:c r="E9" s="14"/>
      <x:c r="F9" s="14"/>
    </x:row>
    <x:row r="10" ht="15" hidden="0" customHeight="1">
      <x:c r="A10" s="14" t="str">
        <x:v>Sources</x:v>
      </x:c>
      <x:c r="B10" s="14" t="str">
        <x:v>來源索引</x:v>
      </x:c>
      <x:c r="C10" s="14" t="str">
        <x:v>每張表的原始 artifact 路徑與比較邊界</x:v>
      </x:c>
      <x:c r="D10" s="14" t="str">
        <x:v>追溯與稽核</x:v>
      </x:c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 ht="15" hidden="0" customHeight="1">
      <x:c r="A12" s="16" t="str">
        <x:v>推薦主結論：Balanced cumulative RF 是目前最穩定的最終政策；quiet tier/rescue 是重要負面證據，不是替代 baseline。</x:v>
      </x:c>
      <x:c r="B12" s="16"/>
      <x:c r="C12" s="16"/>
      <x:c r="D12" s="16"/>
      <x:c r="E12" s="16"/>
      <x:c r="F12" s="16"/>
    </x:row>
  </x:sheetData>
  <x:mergeCells>
    <x:mergeCell ref="A1:F1"/>
    <x:mergeCell ref="A2:F2"/>
    <x:mergeCell ref="A12:F12"/>
  </x:mergeCells>
  <x:pageMargins left="0.7" right="0.7" top="0.75" bottom="0.75" header="0.3" footer="0.3"/>
  <x:tableParts count="1">
    <x:tablePart xmlns:r="http://schemas.openxmlformats.org/officeDocument/2006/relationships" r:id="Rd132f41dfd654c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0.25" hidden="0" customWidth="1"/>
    <x:col min="4" max="4" width="15.630000114440918" hidden="0" customWidth="1"/>
    <x:col min="5" max="5" width="20.25" hidden="0" customWidth="1"/>
    <x:col min="6" max="6" width="21" hidden="0" customWidth="1"/>
    <x:col min="7" max="7" width="20.25" hidden="0" customWidth="1"/>
    <x:col min="8" max="8" width="20.25" hidden="0" customWidth="1"/>
    <x:col min="9" max="9" width="8.130000114440918" hidden="0" customWidth="1"/>
    <x:col min="10" max="10" width="10.880000114440918" hidden="0" customWidth="1"/>
    <x:col min="11" max="11" width="32" hidden="0" customWidth="1"/>
    <x:col min="12" max="12" width="20" hidden="0" customWidth="1"/>
  </x:cols>
  <x:sheetData>
    <x:row r="1" ht="19.200000762939453" hidden="0" customHeight="1">
      <x:c r="A1" s="12" t="str">
        <x:v>Corrected Static 30-minute Comparison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15" hidden="0" customHeight="1">
      <x:c r="A2" s="13" t="str">
        <x:v>同一 corrected target、相同 2,327 eligible OOF identities、7-event LOEO；future impact 只用於 outcome/evaluation。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15" hidden="0" customHeight="1">
      <x:c r="A4" s="15" t="str">
        <x:v>comparison_group</x:v>
      </x:c>
      <x:c r="B4" s="15" t="str">
        <x:v>model</x:v>
      </x:c>
      <x:c r="C4" s="15" t="str">
        <x:v>budget_k</x:v>
      </x:c>
      <x:c r="D4" s="15" t="str">
        <x:v>mean_reduction</x:v>
      </x:c>
      <x:c r="E4" s="15" t="str">
        <x:v>delta_vs_corrected_v5</x:v>
      </x:c>
      <x:c r="F4" s="15" t="str">
        <x:v>mean_oracle_efficiency</x:v>
      </x:c>
      <x:c r="G4" s="15" t="str">
        <x:v>efficiency_delta_vs_v5</x:v>
      </x:c>
      <x:c r="H4" s="15" t="str">
        <x:v>total_oracle_topk_hits</x:v>
      </x:c>
      <x:c r="I4" s="15" t="str">
        <x:v>events</x:v>
      </x:c>
      <x:c r="J4" s="15" t="str">
        <x:v>cutoff_sec</x:v>
      </x:c>
      <x:c r="K4" s="15" t="str">
        <x:v>target</x:v>
      </x:c>
      <x:c r="L4" s="15" t="str">
        <x:v>source_id</x:v>
      </x:c>
    </x:row>
    <x:row r="5" ht="15" hidden="0" customHeight="1">
      <x:c r="A5" s="14" t="str">
        <x:v>corrected_static30</x:v>
      </x:c>
      <x:c r="B5" s="14" t="str">
        <x:v>Corrected v5 RF</x:v>
      </x:c>
      <x:c r="C5" s="20" t="n">
        <x:v>1</x:v>
      </x:c>
      <x:c r="D5" s="21" t="n">
        <x:v>0.017542932695399114</x:v>
      </x:c>
      <x:c r="E5" s="21" t="n">
        <x:f>D5-'Static30'!$D$5</x:f>
        <x:v>0</x:v>
      </x:c>
      <x:c r="F5" s="21" t="n">
        <x:v>0.3248833239262171</x:v>
      </x:c>
      <x:c r="G5" s="21" t="n">
        <x:f>F5-'Static30'!$F$5</x:f>
        <x:v>0</x:v>
      </x:c>
      <x:c r="H5" s="22" t="n">
        <x:v>1</x:v>
      </x:c>
      <x:c r="I5" s="22" t="n">
        <x:v>7</x:v>
      </x:c>
      <x:c r="J5" s="22" t="n">
        <x:v>1800</x:v>
      </x:c>
      <x:c r="K5" s="14" t="str">
        <x:v>corrected all-traversable-roots</x:v>
      </x:c>
      <x:c r="L5" s="14" t="str">
        <x:v>correctedV5</x:v>
      </x:c>
    </x:row>
    <x:row r="6" ht="15" hidden="0" customHeight="1">
      <x:c r="A6" s="14" t="str">
        <x:v>corrected_static30</x:v>
      </x:c>
      <x:c r="B6" s="14" t="str">
        <x:v>Corrected v5 RF</x:v>
      </x:c>
      <x:c r="C6" s="20" t="n">
        <x:v>3</x:v>
      </x:c>
      <x:c r="D6" s="21" t="n">
        <x:v>0.05729935888434452</x:v>
      </x:c>
      <x:c r="E6" s="21" t="n">
        <x:f>D6-'Static30'!$D$6</x:f>
        <x:v>0</x:v>
      </x:c>
      <x:c r="F6" s="21" t="n">
        <x:v>0.4225641530196399</x:v>
      </x:c>
      <x:c r="G6" s="21" t="n">
        <x:f>F6-'Static30'!$F$6</x:f>
        <x:v>0</x:v>
      </x:c>
      <x:c r="H6" s="22" t="n">
        <x:v>5</x:v>
      </x:c>
      <x:c r="I6" s="22" t="n">
        <x:v>7</x:v>
      </x:c>
      <x:c r="J6" s="22" t="n">
        <x:v>1800</x:v>
      </x:c>
      <x:c r="K6" s="14" t="str">
        <x:v>corrected all-traversable-roots</x:v>
      </x:c>
      <x:c r="L6" s="14" t="str">
        <x:v>correctedV5</x:v>
      </x:c>
    </x:row>
    <x:row r="7" ht="15" hidden="0" customHeight="1">
      <x:c r="A7" s="14" t="str">
        <x:v>corrected_static30</x:v>
      </x:c>
      <x:c r="B7" s="14" t="str">
        <x:v>Corrected v5 RF</x:v>
      </x:c>
      <x:c r="C7" s="20" t="n">
        <x:v>5</x:v>
      </x:c>
      <x:c r="D7" s="21" t="n">
        <x:v>0.08523681541384386</x:v>
      </x:c>
      <x:c r="E7" s="21" t="n">
        <x:f>D7-'Static30'!$D$7</x:f>
        <x:v>0</x:v>
      </x:c>
      <x:c r="F7" s="21" t="n">
        <x:v>0.4311720535016967</x:v>
      </x:c>
      <x:c r="G7" s="21" t="n">
        <x:f>F7-'Static30'!$F$7</x:f>
        <x:v>0</x:v>
      </x:c>
      <x:c r="H7" s="22" t="n">
        <x:v>7</x:v>
      </x:c>
      <x:c r="I7" s="22" t="n">
        <x:v>7</x:v>
      </x:c>
      <x:c r="J7" s="22" t="n">
        <x:v>1800</x:v>
      </x:c>
      <x:c r="K7" s="14" t="str">
        <x:v>corrected all-traversable-roots</x:v>
      </x:c>
      <x:c r="L7" s="14" t="str">
        <x:v>correctedV5</x:v>
      </x:c>
    </x:row>
    <x:row r="8" ht="15" hidden="0" customHeight="1">
      <x:c r="A8" s="14" t="str">
        <x:v>corrected_static30</x:v>
      </x:c>
      <x:c r="B8" s="14" t="str">
        <x:v>Corrected v5 RF</x:v>
      </x:c>
      <x:c r="C8" s="20" t="n">
        <x:v>10</x:v>
      </x:c>
      <x:c r="D8" s="21" t="n">
        <x:v>0.1371291994988619</x:v>
      </x:c>
      <x:c r="E8" s="21" t="n">
        <x:f>D8-'Static30'!$D$8</x:f>
        <x:v>0</x:v>
      </x:c>
      <x:c r="F8" s="21" t="n">
        <x:v>0.44133023220692014</x:v>
      </x:c>
      <x:c r="G8" s="21" t="n">
        <x:f>F8-'Static30'!$F$8</x:f>
        <x:v>0</x:v>
      </x:c>
      <x:c r="H8" s="22" t="n">
        <x:v>15</x:v>
      </x:c>
      <x:c r="I8" s="22" t="n">
        <x:v>7</x:v>
      </x:c>
      <x:c r="J8" s="22" t="n">
        <x:v>1800</x:v>
      </x:c>
      <x:c r="K8" s="14" t="str">
        <x:v>corrected all-traversable-roots</x:v>
      </x:c>
      <x:c r="L8" s="14" t="str">
        <x:v>correctedV5</x:v>
      </x:c>
    </x:row>
    <x:row r="9" ht="15" hidden="0" customHeight="1">
      <x:c r="A9" s="14" t="str">
        <x:v>corrected_static30</x:v>
      </x:c>
      <x:c r="B9" s="14" t="str">
        <x:v>Corrected v5 RF</x:v>
      </x:c>
      <x:c r="C9" s="20" t="n">
        <x:v>20</x:v>
      </x:c>
      <x:c r="D9" s="21" t="n">
        <x:v>0.21147612617646322</x:v>
      </x:c>
      <x:c r="E9" s="21" t="n">
        <x:f>D9-'Static30'!$D$9</x:f>
        <x:v>0</x:v>
      </x:c>
      <x:c r="F9" s="21" t="n">
        <x:v>0.46624096722037234</x:v>
      </x:c>
      <x:c r="G9" s="21" t="n">
        <x:f>F9-'Static30'!$F$9</x:f>
        <x:v>0</x:v>
      </x:c>
      <x:c r="H9" s="22" t="n">
        <x:v>37</x:v>
      </x:c>
      <x:c r="I9" s="22" t="n">
        <x:v>7</x:v>
      </x:c>
      <x:c r="J9" s="22" t="n">
        <x:v>1800</x:v>
      </x:c>
      <x:c r="K9" s="14" t="str">
        <x:v>corrected all-traversable-roots</x:v>
      </x:c>
      <x:c r="L9" s="14" t="str">
        <x:v>correctedV5</x:v>
      </x:c>
    </x:row>
    <x:row r="10" ht="15" hidden="0" customHeight="1">
      <x:c r="A10" s="14" t="str">
        <x:v>corrected_static30</x:v>
      </x:c>
      <x:c r="B10" s="14" t="str">
        <x:v>Corrected v5 RF</x:v>
      </x:c>
      <x:c r="C10" s="20" t="n">
        <x:v>50</x:v>
      </x:c>
      <x:c r="D10" s="21" t="n">
        <x:v>0.406201756899954</x:v>
      </x:c>
      <x:c r="E10" s="21" t="n">
        <x:f>D10-'Static30'!$D$10</x:f>
        <x:v>0</x:v>
      </x:c>
      <x:c r="F10" s="21" t="n">
        <x:v>0.5820008498356023</x:v>
      </x:c>
      <x:c r="G10" s="21" t="n">
        <x:f>F10-'Static30'!$F$10</x:f>
        <x:v>0</x:v>
      </x:c>
      <x:c r="H10" s="22" t="n">
        <x:v>141</x:v>
      </x:c>
      <x:c r="I10" s="22" t="n">
        <x:v>7</x:v>
      </x:c>
      <x:c r="J10" s="22" t="n">
        <x:v>1800</x:v>
      </x:c>
      <x:c r="K10" s="14" t="str">
        <x:v>corrected all-traversable-roots</x:v>
      </x:c>
      <x:c r="L10" s="14" t="str">
        <x:v>correctedV5</x:v>
      </x:c>
    </x:row>
    <x:row r="11" ht="15" hidden="0" customHeight="1">
      <x:c r="A11" s="14" t="str">
        <x:v>corrected_static30</x:v>
      </x:c>
      <x:c r="B11" s="14" t="str">
        <x:v>Corrected v5 RF</x:v>
      </x:c>
      <x:c r="C11" s="20" t="n">
        <x:v>100</x:v>
      </x:c>
      <x:c r="D11" s="21" t="n">
        <x:v>0.6068713319182956</x:v>
      </x:c>
      <x:c r="E11" s="21" t="n">
        <x:f>D11-'Static30'!$D$11</x:f>
        <x:v>0</x:v>
      </x:c>
      <x:c r="F11" s="21" t="n">
        <x:v>0.7128559690086069</x:v>
      </x:c>
      <x:c r="G11" s="21" t="n">
        <x:f>F11-'Static30'!$F$11</x:f>
        <x:v>0</x:v>
      </x:c>
      <x:c r="H11" s="22" t="n">
        <x:v>402</x:v>
      </x:c>
      <x:c r="I11" s="22" t="n">
        <x:v>7</x:v>
      </x:c>
      <x:c r="J11" s="22" t="n">
        <x:v>1800</x:v>
      </x:c>
      <x:c r="K11" s="14" t="str">
        <x:v>corrected all-traversable-roots</x:v>
      </x:c>
      <x:c r="L11" s="14" t="str">
        <x:v>correctedV5</x:v>
      </x:c>
    </x:row>
    <x:row r="12" ht="15" hidden="0" customHeight="1">
      <x:c r="A12" s="14" t="str">
        <x:v>corrected_static30</x:v>
      </x:c>
      <x:c r="B12" s="14" t="str">
        <x:v>Corrected active/quiet RF</x:v>
      </x:c>
      <x:c r="C12" s="20" t="n">
        <x:v>1</x:v>
      </x:c>
      <x:c r="D12" s="21" t="n">
        <x:v>0.01055880571127213</x:v>
      </x:c>
      <x:c r="E12" s="21" t="n">
        <x:f>D12-'Static30'!$D$5</x:f>
        <x:v>-0.006984126984126983</x:v>
      </x:c>
      <x:c r="F12" s="21" t="n">
        <x:v>0.1859134502624659</x:v>
      </x:c>
      <x:c r="G12" s="21" t="n">
        <x:f>F12-'Static30'!$F$5</x:f>
        <x:v>-0.13896987366375121</x:v>
      </x:c>
      <x:c r="H12" s="22" t="n">
        <x:v>0</x:v>
      </x:c>
      <x:c r="I12" s="22" t="n">
        <x:v>7</x:v>
      </x:c>
      <x:c r="J12" s="22" t="n">
        <x:v>1800</x:v>
      </x:c>
      <x:c r="K12" s="14" t="str">
        <x:v>corrected all-traversable-roots</x:v>
      </x:c>
      <x:c r="L12" s="14" t="str">
        <x:v>correctedHybrid</x:v>
      </x:c>
    </x:row>
    <x:row r="13" ht="15" hidden="0" customHeight="1">
      <x:c r="A13" s="14" t="str">
        <x:v>corrected_static30</x:v>
      </x:c>
      <x:c r="B13" s="14" t="str">
        <x:v>Corrected active/quiet RF</x:v>
      </x:c>
      <x:c r="C13" s="20" t="n">
        <x:v>3</x:v>
      </x:c>
      <x:c r="D13" s="21" t="n">
        <x:v>0.05088019799018132</x:v>
      </x:c>
      <x:c r="E13" s="21" t="n">
        <x:f>D13-'Static30'!$D$6</x:f>
        <x:v>-0.006419160894163202</x:v>
      </x:c>
      <x:c r="F13" s="21" t="n">
        <x:v>0.3721629443753494</x:v>
      </x:c>
      <x:c r="G13" s="21" t="n">
        <x:f>F13-'Static30'!$F$6</x:f>
        <x:v>-0.050401208644290485</x:v>
      </x:c>
      <x:c r="H13" s="22" t="n">
        <x:v>4</x:v>
      </x:c>
      <x:c r="I13" s="22" t="n">
        <x:v>7</x:v>
      </x:c>
      <x:c r="J13" s="22" t="n">
        <x:v>1800</x:v>
      </x:c>
      <x:c r="K13" s="14" t="str">
        <x:v>corrected all-traversable-roots</x:v>
      </x:c>
      <x:c r="L13" s="14" t="str">
        <x:v>correctedHybrid</x:v>
      </x:c>
    </x:row>
    <x:row r="14" ht="15" hidden="0" customHeight="1">
      <x:c r="A14" s="14" t="str">
        <x:v>corrected_static30</x:v>
      </x:c>
      <x:c r="B14" s="14" t="str">
        <x:v>Corrected active/quiet RF</x:v>
      </x:c>
      <x:c r="C14" s="20" t="n">
        <x:v>5</x:v>
      </x:c>
      <x:c r="D14" s="21" t="n">
        <x:v>0.08513145371435911</x:v>
      </x:c>
      <x:c r="E14" s="21" t="n">
        <x:f>D14-'Static30'!$D$7</x:f>
        <x:v>-0.00010536169948474616</x:v>
      </x:c>
      <x:c r="F14" s="21" t="n">
        <x:v>0.4496030169631573</x:v>
      </x:c>
      <x:c r="G14" s="21" t="n">
        <x:f>F14-'Static30'!$F$7</x:f>
        <x:v>0.018430963461460614</x:v>
      </x:c>
      <x:c r="H14" s="22" t="n">
        <x:v>7</x:v>
      </x:c>
      <x:c r="I14" s="22" t="n">
        <x:v>7</x:v>
      </x:c>
      <x:c r="J14" s="22" t="n">
        <x:v>1800</x:v>
      </x:c>
      <x:c r="K14" s="14" t="str">
        <x:v>corrected all-traversable-roots</x:v>
      </x:c>
      <x:c r="L14" s="14" t="str">
        <x:v>correctedHybrid</x:v>
      </x:c>
    </x:row>
    <x:row r="15" ht="15" hidden="0" customHeight="1">
      <x:c r="A15" s="14" t="str">
        <x:v>corrected_static30</x:v>
      </x:c>
      <x:c r="B15" s="14" t="str">
        <x:v>Corrected active/quiet RF</x:v>
      </x:c>
      <x:c r="C15" s="20" t="n">
        <x:v>10</x:v>
      </x:c>
      <x:c r="D15" s="21" t="n">
        <x:v>0.14116995037723368</x:v>
      </x:c>
      <x:c r="E15" s="21" t="n">
        <x:f>D15-'Static30'!$D$8</x:f>
        <x:v>0.004040750878371774</x:v>
      </x:c>
      <x:c r="F15" s="21" t="n">
        <x:v>0.46536228554340214</x:v>
      </x:c>
      <x:c r="G15" s="21" t="n">
        <x:f>F15-'Static30'!$F$8</x:f>
        <x:v>0.024032053336482007</x:v>
      </x:c>
      <x:c r="H15" s="22" t="n">
        <x:v>16</x:v>
      </x:c>
      <x:c r="I15" s="22" t="n">
        <x:v>7</x:v>
      </x:c>
      <x:c r="J15" s="22" t="n">
        <x:v>1800</x:v>
      </x:c>
      <x:c r="K15" s="14" t="str">
        <x:v>corrected all-traversable-roots</x:v>
      </x:c>
      <x:c r="L15" s="14" t="str">
        <x:v>correctedHybrid</x:v>
      </x:c>
    </x:row>
    <x:row r="16" ht="15" hidden="0" customHeight="1">
      <x:c r="A16" s="14" t="str">
        <x:v>corrected_static30</x:v>
      </x:c>
      <x:c r="B16" s="14" t="str">
        <x:v>Corrected active/quiet RF</x:v>
      </x:c>
      <x:c r="C16" s="20" t="n">
        <x:v>20</x:v>
      </x:c>
      <x:c r="D16" s="21" t="n">
        <x:v>0.23307689420823863</x:v>
      </x:c>
      <x:c r="E16" s="21" t="n">
        <x:f>D16-'Static30'!$D$9</x:f>
        <x:v>0.021600768031775408</x:v>
      </x:c>
      <x:c r="F16" s="21" t="n">
        <x:v>0.5063794669139049</x:v>
      </x:c>
      <x:c r="G16" s="21" t="n">
        <x:f>F16-'Static30'!$F$9</x:f>
        <x:v>0.04013849969353256</x:v>
      </x:c>
      <x:c r="H16" s="22" t="n">
        <x:v>41</x:v>
      </x:c>
      <x:c r="I16" s="22" t="n">
        <x:v>7</x:v>
      </x:c>
      <x:c r="J16" s="22" t="n">
        <x:v>1800</x:v>
      </x:c>
      <x:c r="K16" s="14" t="str">
        <x:v>corrected all-traversable-roots</x:v>
      </x:c>
      <x:c r="L16" s="14" t="str">
        <x:v>correctedHybrid</x:v>
      </x:c>
    </x:row>
    <x:row r="17" ht="15" hidden="0" customHeight="1">
      <x:c r="A17" s="14" t="str">
        <x:v>corrected_static30</x:v>
      </x:c>
      <x:c r="B17" s="14" t="str">
        <x:v>Corrected active/quiet RF</x:v>
      </x:c>
      <x:c r="C17" s="20" t="n">
        <x:v>50</x:v>
      </x:c>
      <x:c r="D17" s="21" t="n">
        <x:v>0.42994525303971015</x:v>
      </x:c>
      <x:c r="E17" s="21" t="n">
        <x:f>D17-'Static30'!$D$10</x:f>
        <x:v>0.023743496139756126</x:v>
      </x:c>
      <x:c r="F17" s="21" t="n">
        <x:v>0.6123408532892808</x:v>
      </x:c>
      <x:c r="G17" s="21" t="n">
        <x:f>F17-'Static30'!$F$10</x:f>
        <x:v>0.030340003453678488</x:v>
      </x:c>
      <x:c r="H17" s="22" t="n">
        <x:v>154</x:v>
      </x:c>
      <x:c r="I17" s="22" t="n">
        <x:v>7</x:v>
      </x:c>
      <x:c r="J17" s="22" t="n">
        <x:v>1800</x:v>
      </x:c>
      <x:c r="K17" s="14" t="str">
        <x:v>corrected all-traversable-roots</x:v>
      </x:c>
      <x:c r="L17" s="14" t="str">
        <x:v>correctedHybrid</x:v>
      </x:c>
    </x:row>
    <x:row r="18" ht="15" hidden="0" customHeight="1">
      <x:c r="A18" s="14" t="str">
        <x:v>corrected_static30</x:v>
      </x:c>
      <x:c r="B18" s="14" t="str">
        <x:v>Corrected active/quiet RF</x:v>
      </x:c>
      <x:c r="C18" s="20" t="n">
        <x:v>100</x:v>
      </x:c>
      <x:c r="D18" s="21" t="n">
        <x:v>0.6119093402696031</x:v>
      </x:c>
      <x:c r="E18" s="21" t="n">
        <x:f>D18-'Static30'!$D$11</x:f>
        <x:v>0.005038008351307521</x:v>
      </x:c>
      <x:c r="F18" s="21" t="n">
        <x:v>0.7195575445752249</x:v>
      </x:c>
      <x:c r="G18" s="21" t="n">
        <x:f>F18-'Static30'!$F$11</x:f>
        <x:v>0.00670157556661799</x:v>
      </x:c>
      <x:c r="H18" s="22" t="n">
        <x:v>397</x:v>
      </x:c>
      <x:c r="I18" s="22" t="n">
        <x:v>7</x:v>
      </x:c>
      <x:c r="J18" s="22" t="n">
        <x:v>1800</x:v>
      </x:c>
      <x:c r="K18" s="14" t="str">
        <x:v>corrected all-traversable-roots</x:v>
      </x:c>
      <x:c r="L18" s="14" t="str">
        <x:v>correctedHybrid</x:v>
      </x:c>
    </x:row>
    <x:row r="19" ht="15" hidden="0" customHeight="1">
      <x:c r="A19" s="14" t="str">
        <x:v>corrected_static30</x:v>
      </x:c>
      <x:c r="B19" s="14" t="str">
        <x:v>Corrected quiet-tier hybrid</x:v>
      </x:c>
      <x:c r="C19" s="20" t="n">
        <x:v>1</x:v>
      </x:c>
      <x:c r="D19" s="21" t="n">
        <x:v>0.01055880571127213</x:v>
      </x:c>
      <x:c r="E19" s="21" t="n">
        <x:f>D19-'Static30'!$D$5</x:f>
        <x:v>-0.006984126984126983</x:v>
      </x:c>
      <x:c r="F19" s="21" t="n">
        <x:v>0.1859134502624659</x:v>
      </x:c>
      <x:c r="G19" s="21" t="n">
        <x:f>F19-'Static30'!$F$5</x:f>
        <x:v>-0.13896987366375121</x:v>
      </x:c>
      <x:c r="H19" s="22" t="n">
        <x:v>0</x:v>
      </x:c>
      <x:c r="I19" s="22" t="n">
        <x:v>7</x:v>
      </x:c>
      <x:c r="J19" s="22" t="n">
        <x:v>1800</x:v>
      </x:c>
      <x:c r="K19" s="14" t="str">
        <x:v>corrected all-traversable-roots</x:v>
      </x:c>
      <x:c r="L19" s="14" t="str">
        <x:v>correctedHybrid</x:v>
      </x:c>
    </x:row>
    <x:row r="20" ht="15" hidden="0" customHeight="1">
      <x:c r="A20" s="14" t="str">
        <x:v>corrected_static30</x:v>
      </x:c>
      <x:c r="B20" s="14" t="str">
        <x:v>Corrected quiet-tier hybrid</x:v>
      </x:c>
      <x:c r="C20" s="20" t="n">
        <x:v>3</x:v>
      </x:c>
      <x:c r="D20" s="21" t="n">
        <x:v>0.05088019799018132</x:v>
      </x:c>
      <x:c r="E20" s="21" t="n">
        <x:f>D20-'Static30'!$D$6</x:f>
        <x:v>-0.006419160894163202</x:v>
      </x:c>
      <x:c r="F20" s="21" t="n">
        <x:v>0.3721629443753494</x:v>
      </x:c>
      <x:c r="G20" s="21" t="n">
        <x:f>F20-'Static30'!$F$6</x:f>
        <x:v>-0.050401208644290485</x:v>
      </x:c>
      <x:c r="H20" s="22" t="n">
        <x:v>4</x:v>
      </x:c>
      <x:c r="I20" s="22" t="n">
        <x:v>7</x:v>
      </x:c>
      <x:c r="J20" s="22" t="n">
        <x:v>1800</x:v>
      </x:c>
      <x:c r="K20" s="14" t="str">
        <x:v>corrected all-traversable-roots</x:v>
      </x:c>
      <x:c r="L20" s="14" t="str">
        <x:v>correctedHybrid</x:v>
      </x:c>
    </x:row>
    <x:row r="21" ht="15" hidden="0" customHeight="1">
      <x:c r="A21" s="14" t="str">
        <x:v>corrected_static30</x:v>
      </x:c>
      <x:c r="B21" s="14" t="str">
        <x:v>Corrected quiet-tier hybrid</x:v>
      </x:c>
      <x:c r="C21" s="20" t="n">
        <x:v>5</x:v>
      </x:c>
      <x:c r="D21" s="21" t="n">
        <x:v>0.08513145371435911</x:v>
      </x:c>
      <x:c r="E21" s="21" t="n">
        <x:f>D21-'Static30'!$D$7</x:f>
        <x:v>-0.00010536169948474616</x:v>
      </x:c>
      <x:c r="F21" s="21" t="n">
        <x:v>0.4496030169631573</x:v>
      </x:c>
      <x:c r="G21" s="21" t="n">
        <x:f>F21-'Static30'!$F$7</x:f>
        <x:v>0.018430963461460614</x:v>
      </x:c>
      <x:c r="H21" s="22" t="n">
        <x:v>7</x:v>
      </x:c>
      <x:c r="I21" s="22" t="n">
        <x:v>7</x:v>
      </x:c>
      <x:c r="J21" s="22" t="n">
        <x:v>1800</x:v>
      </x:c>
      <x:c r="K21" s="14" t="str">
        <x:v>corrected all-traversable-roots</x:v>
      </x:c>
      <x:c r="L21" s="14" t="str">
        <x:v>correctedHybrid</x:v>
      </x:c>
    </x:row>
    <x:row r="22" ht="15" hidden="0" customHeight="1">
      <x:c r="A22" s="14" t="str">
        <x:v>corrected_static30</x:v>
      </x:c>
      <x:c r="B22" s="14" t="str">
        <x:v>Corrected quiet-tier hybrid</x:v>
      </x:c>
      <x:c r="C22" s="20" t="n">
        <x:v>10</x:v>
      </x:c>
      <x:c r="D22" s="21" t="n">
        <x:v>0.14116995037723368</x:v>
      </x:c>
      <x:c r="E22" s="21" t="n">
        <x:f>D22-'Static30'!$D$8</x:f>
        <x:v>0.004040750878371774</x:v>
      </x:c>
      <x:c r="F22" s="21" t="n">
        <x:v>0.46536228554340214</x:v>
      </x:c>
      <x:c r="G22" s="21" t="n">
        <x:f>F22-'Static30'!$F$8</x:f>
        <x:v>0.024032053336482007</x:v>
      </x:c>
      <x:c r="H22" s="22" t="n">
        <x:v>16</x:v>
      </x:c>
      <x:c r="I22" s="22" t="n">
        <x:v>7</x:v>
      </x:c>
      <x:c r="J22" s="22" t="n">
        <x:v>1800</x:v>
      </x:c>
      <x:c r="K22" s="14" t="str">
        <x:v>corrected all-traversable-roots</x:v>
      </x:c>
      <x:c r="L22" s="14" t="str">
        <x:v>correctedHybrid</x:v>
      </x:c>
    </x:row>
    <x:row r="23" ht="15" hidden="0" customHeight="1">
      <x:c r="A23" s="14" t="str">
        <x:v>corrected_static30</x:v>
      </x:c>
      <x:c r="B23" s="14" t="str">
        <x:v>Corrected quiet-tier hybrid</x:v>
      </x:c>
      <x:c r="C23" s="20" t="n">
        <x:v>20</x:v>
      </x:c>
      <x:c r="D23" s="21" t="n">
        <x:v>0.22002846926334776</x:v>
      </x:c>
      <x:c r="E23" s="21" t="n">
        <x:f>D23-'Static30'!$D$9</x:f>
        <x:v>0.008552343086884545</x:v>
      </x:c>
      <x:c r="F23" s="21" t="n">
        <x:v>0.4890599891627724</x:v>
      </x:c>
      <x:c r="G23" s="21" t="n">
        <x:f>F23-'Static30'!$F$9</x:f>
        <x:v>0.022819021942400042</x:v>
      </x:c>
      <x:c r="H23" s="22" t="n">
        <x:v>40</x:v>
      </x:c>
      <x:c r="I23" s="22" t="n">
        <x:v>7</x:v>
      </x:c>
      <x:c r="J23" s="22" t="n">
        <x:v>1800</x:v>
      </x:c>
      <x:c r="K23" s="14" t="str">
        <x:v>corrected all-traversable-roots</x:v>
      </x:c>
      <x:c r="L23" s="14" t="str">
        <x:v>correctedHybrid</x:v>
      </x:c>
    </x:row>
    <x:row r="24" ht="15" hidden="0" customHeight="1">
      <x:c r="A24" s="14" t="str">
        <x:v>corrected_static30</x:v>
      </x:c>
      <x:c r="B24" s="14" t="str">
        <x:v>Corrected quiet-tier hybrid</x:v>
      </x:c>
      <x:c r="C24" s="20" t="n">
        <x:v>50</x:v>
      </x:c>
      <x:c r="D24" s="21" t="n">
        <x:v>0.43342957359720147</x:v>
      </x:c>
      <x:c r="E24" s="21" t="n">
        <x:f>D24-'Static30'!$D$10</x:f>
        <x:v>0.027227816697247442</x:v>
      </x:c>
      <x:c r="F24" s="21" t="n">
        <x:v>0.616356917546309</x:v>
      </x:c>
      <x:c r="G24" s="21" t="n">
        <x:f>F24-'Static30'!$F$10</x:f>
        <x:v>0.03435606771070665</x:v>
      </x:c>
      <x:c r="H24" s="22" t="n">
        <x:v>154</x:v>
      </x:c>
      <x:c r="I24" s="22" t="n">
        <x:v>7</x:v>
      </x:c>
      <x:c r="J24" s="22" t="n">
        <x:v>1800</x:v>
      </x:c>
      <x:c r="K24" s="14" t="str">
        <x:v>corrected all-traversable-roots</x:v>
      </x:c>
      <x:c r="L24" s="14" t="str">
        <x:v>correctedHybrid</x:v>
      </x:c>
    </x:row>
    <x:row r="25" ht="15" hidden="0" customHeight="1">
      <x:c r="A25" s="14" t="str">
        <x:v>corrected_static30</x:v>
      </x:c>
      <x:c r="B25" s="14" t="str">
        <x:v>Corrected quiet-tier hybrid</x:v>
      </x:c>
      <x:c r="C25" s="20" t="n">
        <x:v>100</x:v>
      </x:c>
      <x:c r="D25" s="21" t="n">
        <x:v>0.6127948429598336</x:v>
      </x:c>
      <x:c r="E25" s="21" t="n">
        <x:f>D25-'Static30'!$D$11</x:f>
        <x:v>0.005923511041537988</x:v>
      </x:c>
      <x:c r="F25" s="21" t="n">
        <x:v>0.7207142222823426</x:v>
      </x:c>
      <x:c r="G25" s="21" t="n">
        <x:f>F25-'Static30'!$F$11</x:f>
        <x:v>0.007858253273735682</x:v>
      </x:c>
      <x:c r="H25" s="22" t="n">
        <x:v>396</x:v>
      </x:c>
      <x:c r="I25" s="22" t="n">
        <x:v>7</x:v>
      </x:c>
      <x:c r="J25" s="22" t="n">
        <x:v>1800</x:v>
      </x:c>
      <x:c r="K25" s="14" t="str">
        <x:v>corrected all-traversable-roots</x:v>
      </x:c>
      <x:c r="L25" s="14" t="str">
        <x:v>correctedHybrid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272d3838f684c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.130000114440918" hidden="0" customWidth="1"/>
    <x:col min="3" max="3" width="20.1299991607666" hidden="0" customWidth="1"/>
    <x:col min="4" max="4" width="20.1299991607666" hidden="0" customWidth="1"/>
    <x:col min="5" max="5" width="22.25" hidden="0" customWidth="1"/>
    <x:col min="6" max="6" width="22.3799991607666" hidden="0" customWidth="1"/>
    <x:col min="7" max="7" width="23.5" hidden="0" customWidth="1"/>
    <x:col min="8" max="8" width="19.3799991607666" hidden="0" customWidth="1"/>
    <x:col min="9" max="9" width="20.8799991607666" hidden="0" customWidth="1"/>
    <x:col min="10" max="10" width="24" hidden="0" customWidth="1"/>
    <x:col min="11" max="11" width="28" hidden="0" customWidth="1"/>
    <x:col min="12" max="12" width="18" hidden="0" customWidth="1"/>
  </x:cols>
  <x:sheetData>
    <x:row r="1" ht="19.200000762939453" hidden="0" customHeight="1">
      <x:c r="A1" s="12" t="str">
        <x:v>Corrected Dynamic Budget-50 Comparison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15" hidden="0" customHeight="1">
      <x:c r="A2" s="13" t="str">
        <x:v>所有政策使用共同 minute-10 denominator、7 held-out events 與總 Budget 50；此表不可與 Static30 reduction@K 直接比較。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15" hidden="0" customHeight="1">
      <x:c r="A4" s="15" t="str">
        <x:v>policy</x:v>
      </x:c>
      <x:c r="B4" s="15" t="str">
        <x:v>events</x:v>
      </x:c>
      <x:c r="C4" s="15" t="str">
        <x:v>blocked_future_nodes</x:v>
      </x:c>
      <x:c r="D4" s="15" t="str">
        <x:v>positive_interventions</x:v>
      </x:c>
      <x:c r="E4" s="15" t="str">
        <x:v>mean_horizon_reduction</x:v>
      </x:c>
      <x:c r="F4" s="15" t="str">
        <x:v>delta_vs_single30_hybrid</x:v>
      </x:c>
      <x:c r="G4" s="15" t="str">
        <x:v>schedule_oracle_efficiency</x:v>
      </x:c>
      <x:c r="H4" s="15" t="str">
        <x:v>mean_action_minute</x:v>
      </x:c>
      <x:c r="I4" s="15" t="str">
        <x:v>worst_event_reduction</x:v>
      </x:c>
      <x:c r="J4" s="15" t="str">
        <x:v>role</x:v>
      </x:c>
      <x:c r="K4" s="15" t="str">
        <x:v>protocol</x:v>
      </x:c>
      <x:c r="L4" s="15" t="str">
        <x:v>source_id</x:v>
      </x:c>
    </x:row>
    <x:row r="5" ht="15" hidden="0" customHeight="1">
      <x:c r="A5" s="14" t="str">
        <x:v>single30_corrected_v5</x:v>
      </x:c>
      <x:c r="B5" s="22" t="n">
        <x:v>7</x:v>
      </x:c>
      <x:c r="C5" s="22" t="n">
        <x:v>3790</x:v>
      </x:c>
      <x:c r="D5" s="22" t="n">
        <x:v>301</x:v>
      </x:c>
      <x:c r="E5" s="21" t="n">
        <x:v>0.2748105675047772</x:v>
      </x:c>
      <x:c r="F5" s="21" t="n">
        <x:f>E5-'Dynamic50'!$E$7</x:f>
        <x:v>-0.021762323399605155</x:v>
      </x:c>
      <x:c r="G5" s="21" t="n">
        <x:v>0.5820008498356023</x:v>
      </x:c>
      <x:c r="H5" s="24" t="n">
        <x:v>30</x:v>
      </x:c>
      <x:c r="I5" s="21" t="n">
        <x:v>0.1300569373688942</x:v>
      </x:c>
      <x:c r="J5" s="14" t="str">
        <x:v>comparison</x:v>
      </x:c>
      <x:c r="K5" s="14" t="str">
        <x:v>corrected dynamic horizon</x:v>
      </x:c>
      <x:c r="L5" s="14" t="str">
        <x:v>dynamic</x:v>
      </x:c>
    </x:row>
    <x:row r="6" ht="15" hidden="0" customHeight="1">
      <x:c r="A6" s="14" t="str">
        <x:v>single30_cumulative</x:v>
      </x:c>
      <x:c r="B6" s="22" t="n">
        <x:v>7</x:v>
      </x:c>
      <x:c r="C6" s="22" t="n">
        <x:v>3926</x:v>
      </x:c>
      <x:c r="D6" s="22" t="n">
        <x:v>313</x:v>
      </x:c>
      <x:c r="E6" s="21" t="n">
        <x:v>0.2852180571849816</x:v>
      </x:c>
      <x:c r="F6" s="21" t="n">
        <x:f>E6-'Dynamic50'!$E$7</x:f>
        <x:v>-0.01135483371940077</x:v>
      </x:c>
      <x:c r="G6" s="21" t="n">
        <x:v>0.6040884772045547</x:v>
      </x:c>
      <x:c r="H6" s="24" t="n">
        <x:v>30</x:v>
      </x:c>
      <x:c r="I6" s="21" t="n">
        <x:v>0.1501348516631705</x:v>
      </x:c>
      <x:c r="J6" s="14" t="str">
        <x:v>comparison</x:v>
      </x:c>
      <x:c r="K6" s="14" t="str">
        <x:v>corrected dynamic horizon</x:v>
      </x:c>
      <x:c r="L6" s="14" t="str">
        <x:v>dynamic</x:v>
      </x:c>
    </x:row>
    <x:row r="7" ht="15" hidden="0" customHeight="1">
      <x:c r="A7" s="14" t="str">
        <x:v>single30_hybrid</x:v>
      </x:c>
      <x:c r="B7" s="22" t="n">
        <x:v>7</x:v>
      </x:c>
      <x:c r="C7" s="22" t="n">
        <x:v>3995</x:v>
      </x:c>
      <x:c r="D7" s="22" t="n">
        <x:v>315</x:v>
      </x:c>
      <x:c r="E7" s="21" t="n">
        <x:v>0.2965728909043824</x:v>
      </x:c>
      <x:c r="F7" s="21" t="n">
        <x:f>E7-'Dynamic50'!$E$7</x:f>
        <x:v>0</x:v>
      </x:c>
      <x:c r="G7" s="21" t="n">
        <x:v>0.6243073265809459</x:v>
      </x:c>
      <x:c r="H7" s="24" t="n">
        <x:v>30</x:v>
      </x:c>
      <x:c r="I7" s="21" t="n">
        <x:v>0.1486364998501648</x:v>
      </x:c>
      <x:c r="J7" s="14" t="str">
        <x:v>comparison</x:v>
      </x:c>
      <x:c r="K7" s="14" t="str">
        <x:v>corrected dynamic horizon</x:v>
      </x:c>
      <x:c r="L7" s="14" t="str">
        <x:v>dynamic</x:v>
      </x:c>
    </x:row>
    <x:row r="8" ht="15" hidden="0" customHeight="1">
      <x:c r="A8" s="14" t="str">
        <x:v>balanced_window_delta</x:v>
      </x:c>
      <x:c r="B8" s="22" t="n">
        <x:v>7</x:v>
      </x:c>
      <x:c r="C8" s="22" t="n">
        <x:v>4570</x:v>
      </x:c>
      <x:c r="D8" s="22" t="n">
        <x:v>298</x:v>
      </x:c>
      <x:c r="E8" s="21" t="n">
        <x:v>0.3128929787659957</x:v>
      </x:c>
      <x:c r="F8" s="21" t="n">
        <x:f>E8-'Dynamic50'!$E$7</x:f>
        <x:v>0.01632008786161332</x:v>
      </x:c>
      <x:c r="G8" s="21" t="n">
        <x:v>0.6275512572965499</x:v>
      </x:c>
      <x:c r="H8" s="24" t="n">
        <x:v>34.2</x:v>
      </x:c>
      <x:c r="I8" s="21" t="n">
        <x:v>0.16272100689241834</x:v>
      </x:c>
      <x:c r="J8" s="14" t="str">
        <x:v>comparison</x:v>
      </x:c>
      <x:c r="K8" s="14" t="str">
        <x:v>corrected dynamic horizon</x:v>
      </x:c>
      <x:c r="L8" s="14" t="str">
        <x:v>dynamic</x:v>
      </x:c>
    </x:row>
    <x:row r="9" ht="15" hidden="0" customHeight="1">
      <x:c r="A9" s="14" t="str">
        <x:v>balanced_cumulative_plus_one_window</x:v>
      </x:c>
      <x:c r="B9" s="22" t="n">
        <x:v>7</x:v>
      </x:c>
      <x:c r="C9" s="22" t="n">
        <x:v>4596</x:v>
      </x:c>
      <x:c r="D9" s="22" t="n">
        <x:v>306</x:v>
      </x:c>
      <x:c r="E9" s="21" t="n">
        <x:v>0.3199782729443344</x:v>
      </x:c>
      <x:c r="F9" s="21" t="n">
        <x:f>E9-'Dynamic50'!$E$7</x:f>
        <x:v>0.023405382039952016</x:v>
      </x:c>
      <x:c r="G9" s="21" t="n">
        <x:v>0.63965897698611</x:v>
      </x:c>
      <x:c r="H9" s="24" t="n">
        <x:v>34.2</x:v>
      </x:c>
      <x:c r="I9" s="21" t="n">
        <x:v>0.16421935870542403</x:v>
      </x:c>
      <x:c r="J9" s="14" t="str">
        <x:v>comparison</x:v>
      </x:c>
      <x:c r="K9" s="14" t="str">
        <x:v>corrected dynamic horizon</x:v>
      </x:c>
      <x:c r="L9" s="14" t="str">
        <x:v>dynamic</x:v>
      </x:c>
    </x:row>
    <x:row r="10" ht="15" hidden="0" customHeight="1">
      <x:c r="A10" s="14" t="str">
        <x:v>balanced_cumulative</x:v>
      </x:c>
      <x:c r="B10" s="22" t="n">
        <x:v>7</x:v>
      </x:c>
      <x:c r="C10" s="22" t="n">
        <x:v>4527</x:v>
      </x:c>
      <x:c r="D10" s="22" t="n">
        <x:v>310</x:v>
      </x:c>
      <x:c r="E10" s="21" t="n">
        <x:v>0.3260845222350638</x:v>
      </x:c>
      <x:c r="F10" s="21" t="n">
        <x:f>E10-'Dynamic50'!$E$7</x:f>
        <x:v>0.02951163133068141</x:v>
      </x:c>
      <x:c r="G10" s="21" t="n">
        <x:v>0.645166781432135</x:v>
      </x:c>
      <x:c r="H10" s="24" t="n">
        <x:v>34.2</x:v>
      </x:c>
      <x:c r="I10" s="21" t="n">
        <x:v>0.15882529217860353</x:v>
      </x:c>
      <x:c r="J10" s="14" t="str">
        <x:v>recommended candidate</x:v>
      </x:c>
      <x:c r="K10" s="14" t="str">
        <x:v>corrected dynamic horizon</x:v>
      </x:c>
      <x:c r="L10" s="14" t="str">
        <x:v>dynamic</x:v>
      </x:c>
    </x:row>
    <x:row r="11" ht="15" hidden="0" customHeight="1">
      <x:c r="A11" s="14" t="str">
        <x:v>balanced_dynamic_oracle</x:v>
      </x:c>
      <x:c r="B11" s="22" t="n">
        <x:v>7</x:v>
      </x:c>
      <x:c r="C11" s="22" t="n">
        <x:v>7356</x:v>
      </x:c>
      <x:c r="D11" s="22" t="n">
        <x:v>346</x:v>
      </x:c>
      <x:c r="E11" s="21" t="n">
        <x:v>0.4928211813549797</x:v>
      </x:c>
      <x:c r="F11" s="21" t="n">
        <x:f>E11-'Dynamic50'!$E$7</x:f>
        <x:v>0.19624829045059733</x:v>
      </x:c>
      <x:c r="G11" s="21" t="n">
        <x:v>1</x:v>
      </x:c>
      <x:c r="H11" s="24" t="n">
        <x:v>34.2</x:v>
      </x:c>
      <x:c r="I11" s="21" t="n">
        <x:v>0.29038058136050343</x:v>
      </x:c>
      <x:c r="J11" s="14" t="str">
        <x:v>descriptive upper bound</x:v>
      </x:c>
      <x:c r="K11" s="14" t="str">
        <x:v>corrected dynamic horizon</x:v>
      </x:c>
      <x:c r="L11" s="14" t="str">
        <x:v>dynamic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49209d661b64b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.130000114440918" hidden="0" customWidth="1"/>
    <x:col min="3" max="3" width="18.3799991607666" hidden="0" customWidth="1"/>
    <x:col min="4" max="4" width="17.3799991607666" hidden="0" customWidth="1"/>
    <x:col min="5" max="5" width="17.75" hidden="0" customWidth="1"/>
    <x:col min="6" max="6" width="20.1299991607666" hidden="0" customWidth="1"/>
    <x:col min="7" max="7" width="20.1299991607666" hidden="0" customWidth="1"/>
    <x:col min="8" max="8" width="22.25" hidden="0" customWidth="1"/>
    <x:col min="9" max="9" width="20.8799991607666" hidden="0" customWidth="1"/>
    <x:col min="10" max="10" width="13.630000114440918" hidden="0" customWidth="1"/>
    <x:col min="11" max="11" width="16.8799991607666" hidden="0" customWidth="1"/>
    <x:col min="12" max="12" width="18" hidden="0" customWidth="1"/>
  </x:cols>
  <x:sheetData>
    <x:row r="1" ht="19.200000762939453" hidden="0" customHeight="1">
      <x:c r="A1" s="12" t="str">
        <x:v>Adaptive Cumulative Policy Trade-off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15" hidden="0" customHeight="1">
      <x:c r="A2" s="13" t="str">
        <x:v>Inner-event selection determines thresholds/cost settings. Interpret as intervention-count versus effect trade-off, not as a universal replacement for fixed cumulative 50.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15" hidden="0" customHeight="1">
      <x:c r="A4" s="15" t="str">
        <x:v>policy</x:v>
      </x:c>
      <x:c r="B4" s="15" t="str">
        <x:v>events</x:v>
      </x:c>
      <x:c r="C4" s="15" t="str">
        <x:v>mean_interventions</x:v>
      </x:c>
      <x:c r="D4" s="15" t="str">
        <x:v>max_interventions</x:v>
      </x:c>
      <x:c r="E4" s="15" t="str">
        <x:v>total_interventions</x:v>
      </x:c>
      <x:c r="F4" s="15" t="str">
        <x:v>positive_interventions</x:v>
      </x:c>
      <x:c r="G4" s="15" t="str">
        <x:v>blocked_future_nodes</x:v>
      </x:c>
      <x:c r="H4" s="15" t="str">
        <x:v>mean_horizon_reduction</x:v>
      </x:c>
      <x:c r="I4" s="15" t="str">
        <x:v>worst_event_reduction</x:v>
      </x:c>
      <x:c r="J4" s="15" t="str">
        <x:v>fallback_folds</x:v>
      </x:c>
      <x:c r="K4" s="15" t="str">
        <x:v>delta_vs_fixed_50</x:v>
      </x:c>
      <x:c r="L4" s="15" t="str">
        <x:v>source_id</x:v>
      </x:c>
    </x:row>
    <x:row r="5" ht="15" hidden="0" customHeight="1">
      <x:c r="A5" s="14" t="str">
        <x:v>target_20</x:v>
      </x:c>
      <x:c r="B5" s="14" t="n">
        <x:v>7</x:v>
      </x:c>
      <x:c r="C5" s="26" t="n">
        <x:v>34.285714285714285</x:v>
      </x:c>
      <x:c r="D5" s="20" t="n">
        <x:v>50</x:v>
      </x:c>
      <x:c r="E5" s="22" t="n">
        <x:v>240</x:v>
      </x:c>
      <x:c r="F5" s="22" t="n">
        <x:v>235</x:v>
      </x:c>
      <x:c r="G5" s="22" t="n">
        <x:v>3123</x:v>
      </x:c>
      <x:c r="H5" s="21" t="n">
        <x:v>0.22248038136201026</x:v>
      </x:c>
      <x:c r="I5" s="21" t="n">
        <x:v>0.08608713954956851</x:v>
      </x:c>
      <x:c r="J5" s="20" t="n">
        <x:v>0</x:v>
      </x:c>
      <x:c r="K5" s="21" t="n">
        <x:f>H5-'Adaptive'!$H$11</x:f>
        <x:v>-0.10360414087305353</x:v>
      </x:c>
      <x:c r="L5" s="14" t="str">
        <x:v>adaptive</x:v>
      </x:c>
    </x:row>
    <x:row r="6" ht="15" hidden="0" customHeight="1">
      <x:c r="A6" s="14" t="str">
        <x:v>target_25</x:v>
      </x:c>
      <x:c r="B6" s="14" t="n">
        <x:v>7</x:v>
      </x:c>
      <x:c r="C6" s="26" t="n">
        <x:v>38.57142857142857</x:v>
      </x:c>
      <x:c r="D6" s="20" t="n">
        <x:v>50</x:v>
      </x:c>
      <x:c r="E6" s="22" t="n">
        <x:v>270</x:v>
      </x:c>
      <x:c r="F6" s="22" t="n">
        <x:v>264</x:v>
      </x:c>
      <x:c r="G6" s="22" t="n">
        <x:v>3558</x:v>
      </x:c>
      <x:c r="H6" s="21" t="n">
        <x:v>0.24411175094909604</x:v>
      </x:c>
      <x:c r="I6" s="21" t="n">
        <x:v>0.13113028836034518</x:v>
      </x:c>
      <x:c r="J6" s="20" t="n">
        <x:v>1</x:v>
      </x:c>
      <x:c r="K6" s="21" t="n">
        <x:f>H6-'Adaptive'!$H$11</x:f>
        <x:v>-0.08197277128596775</x:v>
      </x:c>
      <x:c r="L6" s="14" t="str">
        <x:v>adaptive</x:v>
      </x:c>
    </x:row>
    <x:row r="7" ht="15" hidden="0" customHeight="1">
      <x:c r="A7" s="14" t="str">
        <x:v>target_30</x:v>
      </x:c>
      <x:c r="B7" s="14" t="n">
        <x:v>7</x:v>
      </x:c>
      <x:c r="C7" s="26" t="n">
        <x:v>41.42857142857143</x:v>
      </x:c>
      <x:c r="D7" s="20" t="n">
        <x:v>50</x:v>
      </x:c>
      <x:c r="E7" s="22" t="n">
        <x:v>290</x:v>
      </x:c>
      <x:c r="F7" s="22" t="n">
        <x:v>283</x:v>
      </x:c>
      <x:c r="G7" s="22" t="n">
        <x:v>3738</x:v>
      </x:c>
      <x:c r="H7" s="21" t="n">
        <x:v>0.2557636325131883</x:v>
      </x:c>
      <x:c r="I7" s="21" t="n">
        <x:v>0.13113028836034518</x:v>
      </x:c>
      <x:c r="J7" s="20" t="n">
        <x:v>2</x:v>
      </x:c>
      <x:c r="K7" s="21" t="n">
        <x:f>H7-'Adaptive'!$H$11</x:f>
        <x:v>-0.0703208897218755</x:v>
      </x:c>
      <x:c r="L7" s="14" t="str">
        <x:v>adaptive</x:v>
      </x:c>
    </x:row>
    <x:row r="8" ht="15" hidden="0" customHeight="1">
      <x:c r="A8" s="14" t="str">
        <x:v>cost_0p2</x:v>
      </x:c>
      <x:c r="B8" s="14" t="n">
        <x:v>7</x:v>
      </x:c>
      <x:c r="C8" s="26" t="n">
        <x:v>48.57142857142857</x:v>
      </x:c>
      <x:c r="D8" s="20" t="n">
        <x:v>50</x:v>
      </x:c>
      <x:c r="E8" s="22" t="n">
        <x:v>340</x:v>
      </x:c>
      <x:c r="F8" s="22" t="n">
        <x:v>322</x:v>
      </x:c>
      <x:c r="G8" s="22" t="n">
        <x:v>4025</x:v>
      </x:c>
      <x:c r="H8" s="21" t="n">
        <x:v>0.3332813737326933</x:v>
      </x:c>
      <x:c r="I8" s="21" t="n">
        <x:v>0.15807198484529572</x:v>
      </x:c>
      <x:c r="J8" s="20" t="n">
        <x:v>0</x:v>
      </x:c>
      <x:c r="K8" s="21" t="n">
        <x:f>H8-'Adaptive'!$H$11</x:f>
        <x:v>0.007196851497629497</x:v>
      </x:c>
      <x:c r="L8" s="14" t="str">
        <x:v>adaptive</x:v>
      </x:c>
    </x:row>
    <x:row r="9" ht="15" hidden="0" customHeight="1">
      <x:c r="A9" s="14" t="str">
        <x:v>cost_0p05</x:v>
      </x:c>
      <x:c r="B9" s="14" t="n">
        <x:v>7</x:v>
      </x:c>
      <x:c r="C9" s="26" t="n">
        <x:v>50</x:v>
      </x:c>
      <x:c r="D9" s="20" t="n">
        <x:v>50</x:v>
      </x:c>
      <x:c r="E9" s="22" t="n">
        <x:v>350</x:v>
      </x:c>
      <x:c r="F9" s="22" t="n">
        <x:v>325</x:v>
      </x:c>
      <x:c r="G9" s="22" t="n">
        <x:v>4036</x:v>
      </x:c>
      <x:c r="H9" s="21" t="n">
        <x:v>0.3393721821490831</x:v>
      </x:c>
      <x:c r="I9" s="21" t="n">
        <x:v>0.15807198484529572</x:v>
      </x:c>
      <x:c r="J9" s="20" t="n">
        <x:v>0</x:v>
      </x:c>
      <x:c r="K9" s="21" t="n">
        <x:f>H9-'Adaptive'!$H$11</x:f>
        <x:v>0.013287659914019312</x:v>
      </x:c>
      <x:c r="L9" s="14" t="str">
        <x:v>adaptive</x:v>
      </x:c>
    </x:row>
    <x:row r="10" ht="15" hidden="0" customHeight="1">
      <x:c r="A10" s="14" t="str">
        <x:v>cost_0p1</x:v>
      </x:c>
      <x:c r="B10" s="14" t="n">
        <x:v>7</x:v>
      </x:c>
      <x:c r="C10" s="26" t="n">
        <x:v>50</x:v>
      </x:c>
      <x:c r="D10" s="20" t="n">
        <x:v>50</x:v>
      </x:c>
      <x:c r="E10" s="22" t="n">
        <x:v>350</x:v>
      </x:c>
      <x:c r="F10" s="22" t="n">
        <x:v>325</x:v>
      </x:c>
      <x:c r="G10" s="22" t="n">
        <x:v>4036</x:v>
      </x:c>
      <x:c r="H10" s="21" t="n">
        <x:v>0.3393721821490831</x:v>
      </x:c>
      <x:c r="I10" s="21" t="n">
        <x:v>0.15807198484529572</x:v>
      </x:c>
      <x:c r="J10" s="20" t="n">
        <x:v>0</x:v>
      </x:c>
      <x:c r="K10" s="21" t="n">
        <x:f>H10-'Adaptive'!$H$11</x:f>
        <x:v>0.013287659914019312</x:v>
      </x:c>
      <x:c r="L10" s="14" t="str">
        <x:v>adaptive</x:v>
      </x:c>
    </x:row>
    <x:row r="11" ht="15" hidden="0" customHeight="1">
      <x:c r="A11" s="14" t="str">
        <x:v>fixed_balanced_cumulative_50</x:v>
      </x:c>
      <x:c r="B11" s="14" t="n">
        <x:v>7</x:v>
      </x:c>
      <x:c r="C11" s="26" t="n">
        <x:v>50</x:v>
      </x:c>
      <x:c r="D11" s="20" t="n">
        <x:v>50</x:v>
      </x:c>
      <x:c r="E11" s="22" t="n">
        <x:v>350</x:v>
      </x:c>
      <x:c r="F11" s="22" t="n">
        <x:v>310</x:v>
      </x:c>
      <x:c r="G11" s="22" t="n">
        <x:v>4527</x:v>
      </x:c>
      <x:c r="H11" s="21" t="n">
        <x:v>0.3260845222350638</x:v>
      </x:c>
      <x:c r="I11" s="21" t="n">
        <x:v>0.15882529217860353</x:v>
      </x:c>
      <x:c r="J11" s="20" t="n">
        <x:v>0</x:v>
      </x:c>
      <x:c r="K11" s="21" t="n">
        <x:f>H11-'Adaptive'!$H$11</x:f>
        <x:v>0</x:v>
      </x:c>
      <x:c r="L11" s="14" t="str">
        <x:v>adaptive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d9b22dabedf4b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5.630000114440918" hidden="0" customWidth="1"/>
    <x:col min="5" max="5" width="15.380000114440918" hidden="0" customWidth="1"/>
    <x:col min="6" max="6" width="14.130000114440918" hidden="0" customWidth="1"/>
    <x:col min="7" max="7" width="24" hidden="0" customWidth="1"/>
    <x:col min="8" max="8" width="54" hidden="0" customWidth="1"/>
    <x:col min="9" max="9" width="24" hidden="0" customWidth="1"/>
    <x:col min="10" max="10" width="20" hidden="0" customWidth="1"/>
    <x:col min="11" max="11" width="20" hidden="0" customWidth="1"/>
  </x:cols>
  <x:sheetData>
    <x:row r="1" ht="19.200000762939453" hidden="0" customHeight="1">
      <x:c r="A1" s="12" t="str">
        <x:v>Quiet and Timing Negative Evidence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15" hidden="0" customHeight="1">
      <x:c r="A2" s="13" t="str">
        <x:v>這些結果回答限制與失敗原因；metric definitions 不完全相同，禁止依數值大小跨列排名。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15" hidden="0" customHeight="1">
      <x:c r="A4" s="15" t="str">
        <x:v>category</x:v>
      </x:c>
      <x:c r="B4" s="15" t="str">
        <x:v>experiment</x:v>
      </x:c>
      <x:c r="C4" s="15" t="str">
        <x:v>metric</x:v>
      </x:c>
      <x:c r="D4" s="15" t="str">
        <x:v>candidate_value</x:v>
      </x:c>
      <x:c r="E4" s="15" t="str">
        <x:v>reference_value</x:v>
      </x:c>
      <x:c r="F4" s="15" t="str">
        <x:v>numeric_delta</x:v>
      </x:c>
      <x:c r="G4" s="15" t="str">
        <x:v>signal</x:v>
      </x:c>
      <x:c r="H4" s="15" t="str">
        <x:v>main_finding</x:v>
      </x:c>
      <x:c r="I4" s="15" t="str">
        <x:v>protocol</x:v>
      </x:c>
      <x:c r="J4" s="15" t="str">
        <x:v>source_id</x:v>
      </x:c>
      <x:c r="K4" s="15" t="str">
        <x:v>decision</x:v>
      </x:c>
    </x:row>
    <x:row r="5" ht="15" hidden="0" customHeight="1">
      <x:c r="A5" s="14" t="str">
        <x:v>quiet tier</x:v>
      </x:c>
      <x:c r="B5" s="14" t="str">
        <x:v>Corrected quiet-tier hybrid</x:v>
      </x:c>
      <x:c r="C5" s="14" t="str">
        <x:v>Top-50 reduction</x:v>
      </x:c>
      <x:c r="D5" s="21" t="n">
        <x:v>0.4334295735972014</x:v>
      </x:c>
      <x:c r="E5" s="21" t="n">
        <x:v>0.4299452530397101</x:v>
      </x:c>
      <x:c r="F5" s="21" t="n">
        <x:f>IF(E5="","",D5-E5)</x:f>
        <x:v>0.003484320557491316</x:v>
      </x:c>
      <x:c r="G5" s="14" t="str">
        <x:v>tiny positive</x:v>
      </x:c>
      <x:c r="H5" s="14" t="str">
        <x:v>總 Oracle hits 相同，quiet hits 15→13</x:v>
      </x:c>
      <x:c r="I5" s="14" t="str">
        <x:v>static corrected</x:v>
      </x:c>
      <x:c r="J5" s="14" t="str">
        <x:v>correctedBudget</x:v>
      </x:c>
      <x:c r="K5" s="14" t="str">
        <x:v>not replacement</x:v>
      </x:c>
    </x:row>
    <x:row r="6" ht="15" hidden="0" customHeight="1">
      <x:c r="A6" s="14" t="str">
        <x:v>timing</x:v>
      </x:c>
      <x:c r="B6" s="14" t="str">
        <x:v>Wait-loss Hazard RF</x:v>
      </x:c>
      <x:c r="C6" s="14" t="str">
        <x:v>positive ROC-AUC at 10 min</x:v>
      </x:c>
      <x:c r="D6" s="21" t="n">
        <x:v>0.7459695090941596</x:v>
      </x:c>
      <x:c r="E6" s="21"/>
      <x:c r="F6" s="21" t="str">
        <x:f>IF(E6="","",D6-E6)</x:f>
      </x:c>
      <x:c r="G6" s="14" t="str">
        <x:v>learnable prediction</x:v>
      </x:c>
      <x:c r="H6" s="14" t="str">
        <x:v>預測訊號未轉化成較佳 controller</x:v>
      </x:c>
      <x:c r="I6" s="14" t="str">
        <x:v>dynamic exploratory</x:v>
      </x:c>
      <x:c r="J6" s="14" t="str">
        <x:v>hazard</x:v>
      </x:c>
      <x:c r="K6" s="14" t="str">
        <x:v>diagnostic</x:v>
      </x:c>
    </x:row>
    <x:row r="7" ht="15" hidden="0" customHeight="1">
      <x:c r="A7" s="14" t="str">
        <x:v>quiet burst</x:v>
      </x:c>
      <x:c r="B7" s="14" t="str">
        <x:v>Quiet Acceleration RF</x:v>
      </x:c>
      <x:c r="C7" s="14" t="str">
        <x:v>overall ROC-AUC</x:v>
      </x:c>
      <x:c r="D7" s="21" t="n">
        <x:v>0.5547034510688752</x:v>
      </x:c>
      <x:c r="E7" s="21"/>
      <x:c r="F7" s="21" t="str">
        <x:f>IF(E7="","",D7-E7)</x:f>
      </x:c>
      <x:c r="G7" s="14" t="str">
        <x:v>weak</x:v>
      </x:c>
      <x:c r="H7" s="14" t="str">
        <x:v>整體接近隨機，20分鐘 checkpoint 局部較佳</x:v>
      </x:c>
      <x:c r="I7" s="14" t="str">
        <x:v>dynamic exploratory</x:v>
      </x:c>
      <x:c r="J7" s="14" t="str">
        <x:v>acceleration</x:v>
      </x:c>
      <x:c r="K7" s="14" t="str">
        <x:v>negative evidence</x:v>
      </x:c>
    </x:row>
    <x:row r="8" ht="15" hidden="0" customHeight="1">
      <x:c r="A8" s="14" t="str">
        <x:v>quiet rescue</x:v>
      </x:c>
      <x:c r="B8" s="14" t="str">
        <x:v>Nested quiet rescue expert</x:v>
      </x:c>
      <x:c r="C8" s="14" t="str">
        <x:v>incremental impact at +5</x:v>
      </x:c>
      <x:c r="D8" s="21" t="n">
        <x:v>0.01050463084411009</x:v>
      </x:c>
      <x:c r="E8" s="21"/>
      <x:c r="F8" s="21" t="str">
        <x:f>IF(E8="","",D8-E8)</x:f>
      </x:c>
      <x:c r="G8" s="14" t="str">
        <x:v>worse than existing quiet score</x:v>
      </x:c>
      <x:c r="H8" s="14" t="str">
        <x:v>mean impact uplift=-11.71 nodes/event</x:v>
      </x:c>
      <x:c r="I8" s="14" t="str">
        <x:v>static corrected</x:v>
      </x:c>
      <x:c r="J8" s="14" t="str">
        <x:v>rescue</x:v>
      </x:c>
      <x:c r="K8" s="14" t="str">
        <x:v>reject candidate</x:v>
      </x:c>
    </x:row>
    <x:row r="9" ht="15" hidden="0" customHeight="1">
      <x:c r="A9" s="14" t="str">
        <x:v>quiet rescue</x:v>
      </x:c>
      <x:c r="B9" s="14" t="str">
        <x:v>Nested quiet rescue expert</x:v>
      </x:c>
      <x:c r="C9" s="14" t="str">
        <x:v>incremental impact at +10</x:v>
      </x:c>
      <x:c r="D9" s="21" t="n">
        <x:v>0.03558365475001113</x:v>
      </x:c>
      <x:c r="E9" s="21"/>
      <x:c r="F9" s="21" t="str">
        <x:f>IF(E9="","",D9-E9)</x:f>
      </x:c>
      <x:c r="G9" s="14" t="str">
        <x:v>worse than existing quiet score</x:v>
      </x:c>
      <x:c r="H9" s="14" t="str">
        <x:v>mean impact uplift=-53.57 nodes/event</x:v>
      </x:c>
      <x:c r="I9" s="14" t="str">
        <x:v>static corrected</x:v>
      </x:c>
      <x:c r="J9" s="14" t="str">
        <x:v>rescue</x:v>
      </x:c>
      <x:c r="K9" s="14" t="str">
        <x:v>reject candidate</x:v>
      </x:c>
    </x:row>
    <x:row r="10" ht="15" hidden="0" customHeight="1">
      <x:c r="A10" s="14" t="str">
        <x:v>quiet rescue</x:v>
      </x:c>
      <x:c r="B10" s="14" t="str">
        <x:v>Nested quiet rescue expert</x:v>
      </x:c>
      <x:c r="C10" s="14" t="str">
        <x:v>incremental impact at +15</x:v>
      </x:c>
      <x:c r="D10" s="21" t="n">
        <x:v>0.04118892997904238</x:v>
      </x:c>
      <x:c r="E10" s="21"/>
      <x:c r="F10" s="21" t="str">
        <x:f>IF(E10="","",D10-E10)</x:f>
      </x:c>
      <x:c r="G10" s="14" t="str">
        <x:v>worse than existing quiet score</x:v>
      </x:c>
      <x:c r="H10" s="14" t="str">
        <x:v>mean impact uplift=-55.43 nodes/event</x:v>
      </x:c>
      <x:c r="I10" s="14" t="str">
        <x:v>static corrected</x:v>
      </x:c>
      <x:c r="J10" s="14" t="str">
        <x:v>rescue</x:v>
      </x:c>
      <x:c r="K10" s="14" t="str">
        <x:v>reject candidate</x:v>
      </x:c>
    </x:row>
    <x:row r="11" ht="15" hidden="0" customHeight="1">
      <x:c r="A11" s="14" t="str">
        <x:v>quiet rescue</x:v>
      </x:c>
      <x:c r="B11" s="14" t="str">
        <x:v>Nested quiet rescue expert</x:v>
      </x:c>
      <x:c r="C11" s="14" t="str">
        <x:v>incremental impact at +20</x:v>
      </x:c>
      <x:c r="D11" s="21" t="n">
        <x:v>0.05530363019013557</x:v>
      </x:c>
      <x:c r="E11" s="21"/>
      <x:c r="F11" s="21" t="str">
        <x:f>IF(E11="","",D11-E11)</x:f>
      </x:c>
      <x:c r="G11" s="14" t="str">
        <x:v>worse than existing quiet score</x:v>
      </x:c>
      <x:c r="H11" s="14" t="str">
        <x:v>mean impact uplift=-54.29 nodes/event</x:v>
      </x:c>
      <x:c r="I11" s="14" t="str">
        <x:v>static corrected</x:v>
      </x:c>
      <x:c r="J11" s="14" t="str">
        <x:v>rescue</x:v>
      </x:c>
      <x:c r="K11" s="14" t="str">
        <x:v>reject candidate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c2032475efd43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7.130000114440918" hidden="0" customWidth="1"/>
    <x:col min="4" max="4" width="24" hidden="0" customWidth="1"/>
    <x:col min="5" max="5" width="15.380000114440918" hidden="0" customWidth="1"/>
    <x:col min="6" max="6" width="7" hidden="0" customWidth="1"/>
    <x:col min="7" max="7" width="42" hidden="0" customWidth="1"/>
    <x:col min="8" max="8" width="38" hidden="0" customWidth="1"/>
    <x:col min="9" max="9" width="8.5" hidden="0" customWidth="1"/>
    <x:col min="10" max="10" width="18" hidden="0" customWidth="1"/>
    <x:col min="11" max="11" width="22" hidden="0" customWidth="1"/>
  </x:cols>
  <x:sheetData>
    <x:row r="1" ht="19.200000762939453" hidden="0" customHeight="1">
      <x:c r="A1" s="12" t="str">
        <x:v>Legacy Static Research Context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 ht="15" hidden="0" customHeight="1">
      <x:c r="A2" s="13" t="str">
        <x:v>研究演進用；各列可能屬於不同 artifact lineage，僅在 comparable_scope 指定範圍內比較。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15" hidden="0" customHeight="1">
      <x:c r="A4" s="15" t="str">
        <x:v>model</x:v>
      </x:c>
      <x:c r="B4" s="15" t="str">
        <x:v>metric</x:v>
      </x:c>
      <x:c r="C4" s="15" t="str">
        <x:v>value</x:v>
      </x:c>
      <x:c r="D4" s="15" t="str">
        <x:v>reference</x:v>
      </x:c>
      <x:c r="E4" s="15" t="str">
        <x:v>reference_value</x:v>
      </x:c>
      <x:c r="F4" s="15" t="str">
        <x:v>delta</x:v>
      </x:c>
      <x:c r="G4" s="15" t="str">
        <x:v>finding</x:v>
      </x:c>
      <x:c r="H4" s="15" t="str">
        <x:v>comparable_scope</x:v>
      </x:c>
      <x:c r="I4" s="15" t="str">
        <x:v>lineage</x:v>
      </x:c>
      <x:c r="J4" s="15" t="str">
        <x:v>source_id</x:v>
      </x:c>
      <x:c r="K4" s="15" t="str">
        <x:v>thesis_role</x:v>
      </x:c>
    </x:row>
    <x:row r="5" ht="15" hidden="0" customHeight="1">
      <x:c r="A5" s="14" t="str">
        <x:v>Graph7 author-aware</x:v>
      </x:c>
      <x:c r="B5" s="14" t="str">
        <x:v>CRR@10</x:v>
      </x:c>
      <x:c r="C5" s="21" t="n">
        <x:v>0.1192</x:v>
      </x:c>
      <x:c r="D5" s="21" t="str">
        <x:v>Early size</x:v>
      </x:c>
      <x:c r="E5" s="21" t="n">
        <x:v>0.1059</x:v>
      </x:c>
      <x:c r="F5" s="21" t="n">
        <x:f>IF(E5="","",C5-E5)</x:f>
        <x:v>0.013300000000000006</x:v>
      </x:c>
      <x:c r="G5" s="14" t="str">
        <x:v>證明早期特徵超過規模</x:v>
      </x:c>
      <x:c r="H5" s="14" t="str">
        <x:v>Graph7 author-aware experiment</x:v>
      </x:c>
      <x:c r="I5" s="14" t="str">
        <x:v>legacy</x:v>
      </x:c>
      <x:c r="J5" s="14" t="str">
        <x:v>resultsMd</x:v>
      </x:c>
      <x:c r="K5" s="14" t="str">
        <x:v>supporting</x:v>
      </x:c>
    </x:row>
    <x:row r="6" ht="15" hidden="0" customHeight="1">
      <x:c r="A6" s="14" t="str">
        <x:v>Graph7 nested discourse/context RF</x:v>
      </x:c>
      <x:c r="B6" s="14" t="str">
        <x:v>CRR@10</x:v>
      </x:c>
      <x:c r="C6" s="21" t="n">
        <x:v>0.1385</x:v>
      </x:c>
      <x:c r="D6" s="21" t="str">
        <x:v>Early size</x:v>
      </x:c>
      <x:c r="E6" s="21" t="n">
        <x:v>0.1033</x:v>
      </x:c>
      <x:c r="F6" s="21" t="n">
        <x:f>IF(E6="","",C6-E6)</x:f>
        <x:v>0.03520000000000001</x:v>
      </x:c>
      <x:c r="G6" s="14" t="str">
        <x:v>schema-locked nested confirmation</x:v>
      </x:c>
      <x:c r="H6" s="14" t="str">
        <x:v>Graph7 nested experiment</x:v>
      </x:c>
      <x:c r="I6" s="14" t="str">
        <x:v>legacy</x:v>
      </x:c>
      <x:c r="J6" s="14" t="str">
        <x:v>resultsMd</x:v>
      </x:c>
      <x:c r="K6" s="14" t="str">
        <x:v>main methodology</x:v>
      </x:c>
    </x:row>
    <x:row r="7" ht="15" hidden="0" customHeight="1">
      <x:c r="A7" s="14" t="str">
        <x:v>v5 Text RF</x:v>
      </x:c>
      <x:c r="B7" s="14" t="str">
        <x:v>reduction@10</x:v>
      </x:c>
      <x:c r="C7" s="21" t="n">
        <x:v>0.1467</x:v>
      </x:c>
      <x:c r="D7" s="21" t="str">
        <x:v>—</x:v>
      </x:c>
      <x:c r="E7" s="21"/>
      <x:c r="F7" s="21" t="str">
        <x:f>IF(E7="","",C7-E7)</x:f>
      </x:c>
      <x:c r="G7" s="14" t="str">
        <x:v>最高 legacy static reference</x:v>
      </x:c>
      <x:c r="H7" s="14" t="str">
        <x:v>v5 legacy lineage only</x:v>
      </x:c>
      <x:c r="I7" s="14" t="str">
        <x:v>legacy</x:v>
      </x:c>
      <x:c r="J7" s="14" t="str">
        <x:v>resultsMd</x:v>
      </x:c>
      <x:c r="K7" s="14" t="str">
        <x:v>main reference</x:v>
      </x:c>
    </x:row>
    <x:row r="8" ht="15" hidden="0" customHeight="1">
      <x:c r="A8" s="14" t="str">
        <x:v>Calibrated active/quiet RF</x:v>
      </x:c>
      <x:c r="B8" s="14" t="str">
        <x:v>reduction@10</x:v>
      </x:c>
      <x:c r="C8" s="21" t="n">
        <x:v>0.1461</x:v>
      </x:c>
      <x:c r="D8" s="21" t="str">
        <x:v>Paired global RF</x:v>
      </x:c>
      <x:c r="E8" s="21" t="n">
        <x:v>0.1319</x:v>
      </x:c>
      <x:c r="F8" s="21" t="n">
        <x:f>IF(E8="","",C8-E8)</x:f>
        <x:v>0.014200000000000018</x:v>
      </x:c>
      <x:c r="G8" s="14" t="str">
        <x:v>改善中等 budget</x:v>
      </x:c>
      <x:c r="H8" s="14" t="str">
        <x:v>protected-v5 paired comparison</x:v>
      </x:c>
      <x:c r="I8" s="14" t="str">
        <x:v>legacy</x:v>
      </x:c>
      <x:c r="J8" s="14" t="str">
        <x:v>resultsMd</x:v>
      </x:c>
      <x:c r="K8" s="14" t="str">
        <x:v>main progression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2d50f67e4d74b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  <x:col min="3" max="3" width="28" hidden="0" customWidth="1"/>
    <x:col min="4" max="4" width="20" hidden="0" customWidth="1"/>
    <x:col min="5" max="5" width="54" hidden="0" customWidth="1"/>
  </x:cols>
  <x:sheetData>
    <x:row r="1" ht="19.200000762939453" hidden="0" customHeight="1">
      <x:c r="A1" s="12" t="str">
        <x:v>Source and Comparability Index</x:v>
      </x:c>
      <x:c r="B1" s="12"/>
      <x:c r="C1" s="12"/>
      <x:c r="D1" s="12"/>
      <x:c r="E1" s="12"/>
    </x:row>
    <x:row r="2" ht="15" hidden="0" customHeight="1">
      <x:c r="A2" s="13" t="str">
        <x:v>每個來源保持唯讀；工作簿只重新聚合已保存的 OOF／policy outputs。</x:v>
      </x:c>
      <x:c r="B2" s="13"/>
      <x:c r="C2" s="13"/>
      <x:c r="D2" s="13"/>
      <x:c r="E2" s="13"/>
    </x:row>
    <x:row r="3">
      <x:c r="A3" s="14"/>
      <x:c r="B3" s="14"/>
      <x:c r="C3" s="14"/>
      <x:c r="D3" s="14"/>
      <x:c r="E3" s="14"/>
    </x:row>
    <x:row r="4" ht="15" hidden="0" customHeight="1">
      <x:c r="A4" s="15" t="str">
        <x:v>source_id</x:v>
      </x:c>
      <x:c r="B4" s="15" t="str">
        <x:v>repository_relative_path</x:v>
      </x:c>
      <x:c r="C4" s="15" t="str">
        <x:v>comparison_group</x:v>
      </x:c>
      <x:c r="D4" s="15" t="str">
        <x:v>source_type</x:v>
      </x:c>
      <x:c r="E4" s="15" t="str">
        <x:v>note</x:v>
      </x:c>
    </x:row>
    <x:row r="5" ht="15" hidden="0" customHeight="1">
      <x:c r="A5" s="14" t="str">
        <x:v>correctedV5</x:v>
      </x:c>
      <x:c r="B5" s="28" t="str">
        <x:v>effective_models/pheme_v5_corrected_target/experiments/20260903_143643_168807_corrected_v5_nested_full/oof_thread_scores.csv</x:v>
      </x:c>
      <x:c r="C5" s="14" t="str">
        <x:v>corrected static</x:v>
      </x:c>
      <x:c r="D5" s="14" t="str">
        <x:v>saved artifact</x:v>
      </x:c>
      <x:c r="E5" s="14" t="str">
        <x:v>Do not overwrite; see source run_record for exact configuration</x:v>
      </x:c>
    </x:row>
    <x:row r="6" ht="26.399999618530273" hidden="0" customHeight="1">
      <x:c r="A6" s="14" t="str">
        <x:v>correctedHybrid</x:v>
      </x:c>
      <x:c r="B6" s="28" t="str">
        <x:v>effective_models/pheme_active_quiet_corrected_target/experiments/20260903_214222_297421_corrected_quiet_tier_hybrid_full/outer_scores.csv</x:v>
      </x:c>
      <x:c r="C6" s="14" t="str">
        <x:v>corrected static</x:v>
      </x:c>
      <x:c r="D6" s="14" t="str">
        <x:v>saved artifact</x:v>
      </x:c>
      <x:c r="E6" s="14" t="str">
        <x:v>Do not overwrite; see source run_record for exact configuration</x:v>
      </x:c>
    </x:row>
    <x:row r="7" ht="26.399999618530273" hidden="0" customHeight="1">
      <x:c r="A7" s="14" t="str">
        <x:v>correctedBudget</x:v>
      </x:c>
      <x:c r="B7" s="28" t="str">
        <x:v>effective_models/pheme_active_quiet_corrected_target/experiments/20260903_214222_297421_corrected_quiet_tier_hybrid_full/eligible_event_budget_summary.csv</x:v>
      </x:c>
      <x:c r="C7" s="14" t="str">
        <x:v>corrected static</x:v>
      </x:c>
      <x:c r="D7" s="14" t="str">
        <x:v>saved artifact</x:v>
      </x:c>
      <x:c r="E7" s="14" t="str">
        <x:v>Do not overwrite; see source run_record for exact configuration</x:v>
      </x:c>
    </x:row>
    <x:row r="8" ht="26.399999618530273" hidden="0" customHeight="1">
      <x:c r="A8" s="14" t="str">
        <x:v>correctedTop50</x:v>
      </x:c>
      <x:c r="B8" s="28" t="str">
        <x:v>effective_models/pheme_active_quiet_corrected_target/experiments/20260903_215627_872431_corrected_top50_comparison/top50_macro.csv</x:v>
      </x:c>
      <x:c r="C8" s="14" t="str">
        <x:v>corrected static</x:v>
      </x:c>
      <x:c r="D8" s="14" t="str">
        <x:v>saved artifact</x:v>
      </x:c>
      <x:c r="E8" s="14" t="str">
        <x:v>Do not overwrite; see source run_record for exact configuration</x:v>
      </x:c>
    </x:row>
    <x:row r="9" ht="26.399999618530273" hidden="0" customHeight="1">
      <x:c r="A9" s="14" t="str">
        <x:v>dynamic</x:v>
      </x:c>
      <x:c r="B9" s="28" t="str">
        <x:v>effective_models/pheme_multicheckpoint_rf/reference_result/20260903_160025_balanced_cumulative_sequential_policy/results/sequential_policy_macro.csv</x:v>
      </x:c>
      <x:c r="C9" s="14" t="str">
        <x:v>corrected dynamic</x:v>
      </x:c>
      <x:c r="D9" s="14" t="str">
        <x:v>saved artifact</x:v>
      </x:c>
      <x:c r="E9" s="14" t="str">
        <x:v>Do not overwrite; see source run_record for exact configuration</x:v>
      </x:c>
    </x:row>
    <x:row r="10" ht="26.399999618530273" hidden="0" customHeight="1">
      <x:c r="A10" s="14" t="str">
        <x:v>adaptive</x:v>
      </x:c>
      <x:c r="B10" s="28" t="str">
        <x:v>effective_models/pheme_multicheckpoint_rf/experiments/20260903_162347_617042_adaptive_cumulative_policy_full/adaptive_policy_macro.csv</x:v>
      </x:c>
      <x:c r="C10" s="14" t="str">
        <x:v>corrected dynamic</x:v>
      </x:c>
      <x:c r="D10" s="14" t="str">
        <x:v>saved artifact</x:v>
      </x:c>
      <x:c r="E10" s="14" t="str">
        <x:v>Do not overwrite; see source run_record for exact configuration</x:v>
      </x:c>
    </x:row>
    <x:row r="11" ht="15" hidden="0" customHeight="1">
      <x:c r="A11" s="14" t="str">
        <x:v>hazard</x:v>
      </x:c>
      <x:c r="B11" s="28" t="str">
        <x:v>effective_models/pheme_multicheckpoint_rf/experiments/20260903_172123_236311_wait_loss_hazard_policy_full/result.json</x:v>
      </x:c>
      <x:c r="C11" s="14" t="str">
        <x:v>corrected dynamic</x:v>
      </x:c>
      <x:c r="D11" s="14" t="str">
        <x:v>saved artifact</x:v>
      </x:c>
      <x:c r="E11" s="14" t="str">
        <x:v>Do not overwrite; see source run_record for exact configuration</x:v>
      </x:c>
    </x:row>
    <x:row r="12" ht="15" hidden="0" customHeight="1">
      <x:c r="A12" s="14" t="str">
        <x:v>acceleration</x:v>
      </x:c>
      <x:c r="B12" s="28" t="str">
        <x:v>effective_models/pheme_multicheckpoint_rf/experiments/20260903_194947_531733_quiet_acceleration_rf_full/result.json</x:v>
      </x:c>
      <x:c r="C12" s="14" t="str">
        <x:v>corrected dynamic</x:v>
      </x:c>
      <x:c r="D12" s="14" t="str">
        <x:v>saved artifact</x:v>
      </x:c>
      <x:c r="E12" s="14" t="str">
        <x:v>Do not overwrite; see source run_record for exact configuration</x:v>
      </x:c>
    </x:row>
    <x:row r="13" ht="26.399999618530273" hidden="0" customHeight="1">
      <x:c r="A13" s="14" t="str">
        <x:v>rescue</x:v>
      </x:c>
      <x:c r="B13" s="28" t="str">
        <x:v>effective_models/pheme_active_quiet_corrected_target/experiments/20260903_221403_155217_quiet_rescue_expert_full/rescue_cap_summary.csv</x:v>
      </x:c>
      <x:c r="C13" s="14" t="str">
        <x:v>corrected static diagnostic</x:v>
      </x:c>
      <x:c r="D13" s="14" t="str">
        <x:v>saved artifact</x:v>
      </x:c>
      <x:c r="E13" s="14" t="str">
        <x:v>Do not overwrite; see source run_record for exact configuration</x:v>
      </x:c>
    </x:row>
    <x:row r="14" ht="15" hidden="0" customHeight="1">
      <x:c r="A14" s="14" t="str">
        <x:v>resultsMd</x:v>
      </x:c>
      <x:c r="B14" s="28" t="str">
        <x:v>PROJECT_RESULTS_20260901.md</x:v>
      </x:c>
      <x:c r="C14" s="14" t="str">
        <x:v>documentation</x:v>
      </x:c>
      <x:c r="D14" s="14" t="str">
        <x:v>saved artifact</x:v>
      </x:c>
      <x:c r="E14" s="14" t="str">
        <x:v>Do not overwrite; see source run_record for exact configuration</x:v>
      </x:c>
    </x:row>
    <x:row r="15" ht="15" hidden="0" customHeight="1">
      <x:c r="A15" s="14" t="str">
        <x:v>narrative</x:v>
      </x:c>
      <x:c r="B15" s="28" t="str">
        <x:v>THESIS_MODEL_NARRATIVE_20260903_ZH.md</x:v>
      </x:c>
      <x:c r="C15" s="14" t="str">
        <x:v>documentation</x:v>
      </x:c>
      <x:c r="D15" s="14" t="str">
        <x:v>saved artifact</x:v>
      </x:c>
      <x:c r="E15" s="14" t="str">
        <x:v>Do not overwrite; see source run_record for exact configuration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e412d09bc6b4b7c"/>
  </x:tableParts>
</x:worksheet>
</file>